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生1A" sheetId="1" r:id="rId4"/>
    <sheet state="visible" name="生2A（Snapshot選好度）" sheetId="2" r:id="rId5"/>
    <sheet state="visible" name="生2A（Snapshot選好度） の訂正版" sheetId="3" r:id="rId6"/>
    <sheet state="visible" name="シート4" sheetId="4" r:id="rId7"/>
    <sheet state="visible" name="生2A（Snapshot次の行動の急ぎ度合いのランキング）" sheetId="5" r:id="rId8"/>
    <sheet state="visible" name="生2B（動画通知の要・不要）" sheetId="6" r:id="rId9"/>
  </sheets>
  <definedNames/>
  <calcPr/>
</workbook>
</file>

<file path=xl/sharedStrings.xml><?xml version="1.0" encoding="utf-8"?>
<sst xmlns="http://schemas.openxmlformats.org/spreadsheetml/2006/main" count="661" uniqueCount="89">
  <si>
    <t>1A</t>
  </si>
  <si>
    <t>中村聡美</t>
  </si>
  <si>
    <t>竹村涼</t>
  </si>
  <si>
    <t>福川真由里</t>
  </si>
  <si>
    <t>釜石佳奈</t>
  </si>
  <si>
    <t>被験者ID</t>
  </si>
  <si>
    <t>n数</t>
  </si>
  <si>
    <t>平均値</t>
  </si>
  <si>
    <t>中央値</t>
  </si>
  <si>
    <t>標準偏差</t>
  </si>
  <si>
    <t>四分位偏差</t>
  </si>
  <si>
    <t>順位和</t>
  </si>
  <si>
    <t>順位平均</t>
  </si>
  <si>
    <t>検定統計量</t>
  </si>
  <si>
    <t>判定</t>
  </si>
  <si>
    <t>方法1と2 or 3の有意差状況</t>
  </si>
  <si>
    <t>氏名</t>
  </si>
  <si>
    <t>高橋</t>
  </si>
  <si>
    <t>中村</t>
  </si>
  <si>
    <t>鼻崎</t>
  </si>
  <si>
    <t>貞方</t>
  </si>
  <si>
    <t>百武</t>
  </si>
  <si>
    <t>児玉</t>
  </si>
  <si>
    <t>原田</t>
  </si>
  <si>
    <t>河内</t>
  </si>
  <si>
    <t>中山</t>
  </si>
  <si>
    <t>竹村</t>
  </si>
  <si>
    <t>山田</t>
  </si>
  <si>
    <t>福川</t>
  </si>
  <si>
    <t>職種</t>
  </si>
  <si>
    <t>NS</t>
  </si>
  <si>
    <t>CW</t>
  </si>
  <si>
    <t>経験年数</t>
  </si>
  <si>
    <t>N/A</t>
  </si>
  <si>
    <t>事例①（顔を触る）</t>
  </si>
  <si>
    <t>条件1</t>
  </si>
  <si>
    <t>有意差あり（Q&gt;5.991)</t>
  </si>
  <si>
    <t>ー</t>
  </si>
  <si>
    <t>条件2</t>
  </si>
  <si>
    <t>条件3</t>
  </si>
  <si>
    <t>事例②（姿勢を崩す）</t>
  </si>
  <si>
    <t>事例③（立つ）</t>
  </si>
  <si>
    <t>有意差なし（Q&lt;5.991)</t>
  </si>
  <si>
    <t>事例④（挙手）</t>
  </si>
  <si>
    <t>https://corvus-window.com/excel_wilcoxon-signed-rank-test/</t>
  </si>
  <si>
    <t>条件1-2差</t>
  </si>
  <si>
    <t>条件1-3差</t>
  </si>
  <si>
    <t>条件2-3差</t>
  </si>
  <si>
    <t>差分絶対値</t>
  </si>
  <si>
    <t>差の順位</t>
  </si>
  <si>
    <t>合計順位</t>
  </si>
  <si>
    <t>正</t>
  </si>
  <si>
    <t>負</t>
  </si>
  <si>
    <t>T値</t>
  </si>
  <si>
    <t>n</t>
  </si>
  <si>
    <t>-&gt;</t>
  </si>
  <si>
    <t>alpha</t>
  </si>
  <si>
    <t>両側検定</t>
  </si>
  <si>
    <t>限界値</t>
  </si>
  <si>
    <t>有意差</t>
  </si>
  <si>
    <t>有意差がない，という結果が大半だが，手打ちアルゴリズムなので信ぴょう性が薄い．Pythonでやるかー</t>
  </si>
  <si>
    <t>良い順に並べる</t>
  </si>
  <si>
    <t>一番良い</t>
  </si>
  <si>
    <t>中くらい</t>
  </si>
  <si>
    <t>一番ダメ</t>
  </si>
  <si>
    <t>条件1の順位</t>
  </si>
  <si>
    <t>条件2の順位</t>
  </si>
  <si>
    <t>条件3の順位</t>
  </si>
  <si>
    <t>動作をどれだけ急ぐか，相対比較</t>
  </si>
  <si>
    <t>自立許可がない場合を想定した回答を採用</t>
  </si>
  <si>
    <t>同一順位の補正</t>
  </si>
  <si>
    <t>事例1</t>
  </si>
  <si>
    <t>チューブを挿入しているAさんが顔を触っています</t>
  </si>
  <si>
    <t>事例2</t>
  </si>
  <si>
    <t>転倒リスクが高いAさんが姿勢を崩しています</t>
  </si>
  <si>
    <t>事例3</t>
  </si>
  <si>
    <t>転倒リスクが高いAさんが立とうとしています</t>
  </si>
  <si>
    <t>事例4</t>
  </si>
  <si>
    <t>重症度の高いAさんが手を挙げています</t>
  </si>
  <si>
    <t>通知1</t>
  </si>
  <si>
    <t>通知2</t>
  </si>
  <si>
    <t>通知3</t>
  </si>
  <si>
    <t>通知4</t>
  </si>
  <si>
    <t>通知5</t>
  </si>
  <si>
    <t>通知6</t>
  </si>
  <si>
    <t>スタッフが見ていないAさんが，姿勢を崩しています．</t>
  </si>
  <si>
    <t>スタッフが見ていないFさんが，立ち上がっています．</t>
  </si>
  <si>
    <t>スタッフが見ていないDさんが，姿勢を崩しています．</t>
  </si>
  <si>
    <t>スタッフが見ていないIさんが，姿勢を崩しています．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</si>
</sst>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FF00"/>
      <name val="Arial"/>
      <scheme val="minor"/>
    </font>
    <font>
      <b/>
      <color rgb="FF4A86E8"/>
      <name val="Arial"/>
      <scheme val="minor"/>
    </font>
    <font>
      <color rgb="FF00FF00"/>
      <name val="Arial"/>
      <scheme val="minor"/>
    </font>
    <font>
      <b/>
      <color rgb="FF0000FF"/>
      <name val="Arial"/>
      <scheme val="minor"/>
    </font>
    <font>
      <color rgb="FF4A86E8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695325</xdr:colOff>
      <xdr:row>72</xdr:row>
      <xdr:rowOff>161925</xdr:rowOff>
    </xdr:from>
    <xdr:ext cx="2724150" cy="50196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695325</xdr:colOff>
      <xdr:row>72</xdr:row>
      <xdr:rowOff>161925</xdr:rowOff>
    </xdr:from>
    <xdr:ext cx="2724150" cy="50196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rvus-window.com/excel_wilcoxon-signed-rank-tes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rvus-window.com/excel_wilcoxon-signed-rank-test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63"/>
    <col customWidth="1" min="3" max="3" width="6.0"/>
    <col customWidth="1" min="4" max="4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2.0</v>
      </c>
      <c r="C2" s="1">
        <v>3.0</v>
      </c>
      <c r="D2" s="1">
        <v>5.0</v>
      </c>
      <c r="E2" s="1">
        <v>3.0</v>
      </c>
    </row>
    <row r="3">
      <c r="A3" s="1">
        <v>2.0</v>
      </c>
      <c r="B3" s="1">
        <v>2.0</v>
      </c>
      <c r="C3" s="1">
        <v>3.0</v>
      </c>
      <c r="D3" s="1">
        <v>4.0</v>
      </c>
      <c r="E3" s="1">
        <v>3.0</v>
      </c>
    </row>
    <row r="4">
      <c r="A4" s="1">
        <v>3.0</v>
      </c>
      <c r="B4" s="1">
        <v>3.0</v>
      </c>
      <c r="C4" s="1">
        <v>5.0</v>
      </c>
      <c r="D4" s="1">
        <v>8.0</v>
      </c>
      <c r="E4" s="1">
        <v>6.0</v>
      </c>
    </row>
    <row r="5">
      <c r="A5" s="1">
        <v>4.0</v>
      </c>
      <c r="B5" s="1">
        <v>4.0</v>
      </c>
      <c r="C5" s="1">
        <v>3.0</v>
      </c>
      <c r="D5" s="1">
        <v>4.0</v>
      </c>
      <c r="E5" s="1">
        <v>2.0</v>
      </c>
    </row>
    <row r="6">
      <c r="A6" s="1">
        <v>5.0</v>
      </c>
      <c r="B6" s="1">
        <v>5.0</v>
      </c>
      <c r="C6" s="1">
        <v>5.0</v>
      </c>
      <c r="D6" s="1">
        <v>5.0</v>
      </c>
      <c r="E6" s="1">
        <v>3.0</v>
      </c>
    </row>
    <row r="7">
      <c r="A7" s="1">
        <v>6.0</v>
      </c>
      <c r="B7" s="1">
        <v>5.0</v>
      </c>
      <c r="C7" s="1">
        <v>5.0</v>
      </c>
      <c r="D7" s="1">
        <v>4.0</v>
      </c>
      <c r="E7" s="1">
        <v>8.0</v>
      </c>
    </row>
    <row r="8">
      <c r="A8" s="1">
        <v>7.0</v>
      </c>
      <c r="B8" s="1">
        <v>6.0</v>
      </c>
      <c r="C8" s="1">
        <v>5.0</v>
      </c>
      <c r="D8" s="1">
        <v>8.0</v>
      </c>
      <c r="E8" s="1">
        <v>6.0</v>
      </c>
    </row>
    <row r="9">
      <c r="A9" s="1">
        <v>8.0</v>
      </c>
      <c r="B9" s="1">
        <v>7.0</v>
      </c>
      <c r="C9" s="1">
        <v>8.0</v>
      </c>
      <c r="D9" s="1">
        <v>8.0</v>
      </c>
      <c r="E9" s="1">
        <v>6.0</v>
      </c>
    </row>
    <row r="10">
      <c r="A10" s="1">
        <v>9.0</v>
      </c>
      <c r="B10" s="1">
        <v>4.0</v>
      </c>
      <c r="C10" s="1">
        <v>3.0</v>
      </c>
      <c r="D10" s="1">
        <v>3.0</v>
      </c>
      <c r="E10" s="1">
        <v>5.0</v>
      </c>
    </row>
    <row r="11">
      <c r="A11" s="1">
        <v>10.0</v>
      </c>
      <c r="B11" s="1">
        <v>7.0</v>
      </c>
      <c r="C11" s="1">
        <v>5.0</v>
      </c>
      <c r="D11" s="1">
        <v>8.0</v>
      </c>
      <c r="E11" s="1">
        <v>6.0</v>
      </c>
    </row>
    <row r="12">
      <c r="A12" s="1">
        <v>11.0</v>
      </c>
      <c r="B12" s="1">
        <v>7.0</v>
      </c>
      <c r="C12" s="1">
        <v>3.0</v>
      </c>
      <c r="D12" s="1">
        <v>5.0</v>
      </c>
      <c r="E12" s="1">
        <v>8.0</v>
      </c>
    </row>
    <row r="13">
      <c r="A13" s="1">
        <v>12.0</v>
      </c>
      <c r="B13" s="1">
        <v>7.0</v>
      </c>
      <c r="C13" s="1">
        <v>3.0</v>
      </c>
      <c r="D13" s="1">
        <v>8.0</v>
      </c>
      <c r="E13" s="1">
        <v>8.0</v>
      </c>
    </row>
    <row r="14">
      <c r="A14" s="1">
        <v>13.0</v>
      </c>
      <c r="B14" s="1">
        <v>4.0</v>
      </c>
      <c r="C14" s="1">
        <v>5.0</v>
      </c>
      <c r="D14" s="1">
        <v>3.0</v>
      </c>
      <c r="E14" s="1">
        <v>5.0</v>
      </c>
    </row>
    <row r="15">
      <c r="A15" s="1">
        <v>14.0</v>
      </c>
      <c r="B15" s="1">
        <v>8.0</v>
      </c>
      <c r="C15" s="1">
        <v>5.0</v>
      </c>
      <c r="D15" s="1">
        <v>6.0</v>
      </c>
      <c r="E15" s="1">
        <v>6.0</v>
      </c>
    </row>
    <row r="16">
      <c r="A16" s="1">
        <v>15.0</v>
      </c>
      <c r="B16" s="1">
        <v>7.0</v>
      </c>
      <c r="C16" s="1">
        <v>5.0</v>
      </c>
      <c r="D16" s="1">
        <v>5.0</v>
      </c>
      <c r="E16" s="1">
        <v>8.0</v>
      </c>
    </row>
    <row r="17">
      <c r="A17" s="1">
        <v>16.0</v>
      </c>
      <c r="B17" s="1">
        <v>4.0</v>
      </c>
      <c r="C17" s="1">
        <v>5.0</v>
      </c>
      <c r="D17" s="1">
        <v>3.0</v>
      </c>
      <c r="E17" s="1">
        <v>2.0</v>
      </c>
    </row>
    <row r="18">
      <c r="A18" s="1">
        <v>17.0</v>
      </c>
      <c r="B18" s="1">
        <v>6.0</v>
      </c>
      <c r="C18" s="1">
        <v>5.0</v>
      </c>
      <c r="D18" s="1">
        <v>5.0</v>
      </c>
      <c r="E18" s="1">
        <v>2.0</v>
      </c>
    </row>
    <row r="19">
      <c r="A19" s="1">
        <v>18.0</v>
      </c>
      <c r="B19" s="1">
        <v>6.0</v>
      </c>
      <c r="C19" s="1">
        <v>5.0</v>
      </c>
      <c r="D19" s="1">
        <v>3.0</v>
      </c>
      <c r="E19" s="1">
        <v>6.0</v>
      </c>
    </row>
    <row r="20">
      <c r="A20" s="1">
        <v>19.0</v>
      </c>
      <c r="B20" s="1">
        <v>6.0</v>
      </c>
      <c r="C20" s="1">
        <v>5.0</v>
      </c>
      <c r="D20" s="1">
        <v>6.0</v>
      </c>
      <c r="E20" s="1">
        <v>6.0</v>
      </c>
    </row>
    <row r="21">
      <c r="A21" s="1">
        <v>20.0</v>
      </c>
      <c r="B21" s="1">
        <v>6.0</v>
      </c>
      <c r="C21" s="1">
        <v>8.0</v>
      </c>
      <c r="D21" s="1">
        <v>6.0</v>
      </c>
      <c r="E21" s="1">
        <v>8.0</v>
      </c>
    </row>
    <row r="22">
      <c r="A22" s="1">
        <v>21.0</v>
      </c>
      <c r="B22" s="1">
        <v>5.0</v>
      </c>
      <c r="C22" s="1">
        <v>5.0</v>
      </c>
      <c r="D22" s="1">
        <v>5.0</v>
      </c>
      <c r="E22" s="1">
        <v>5.0</v>
      </c>
    </row>
    <row r="23">
      <c r="A23" s="1">
        <v>22.0</v>
      </c>
      <c r="B23" s="1">
        <v>6.0</v>
      </c>
      <c r="C23" s="1">
        <v>4.0</v>
      </c>
      <c r="D23" s="1">
        <v>3.0</v>
      </c>
      <c r="E23" s="1">
        <v>4.0</v>
      </c>
    </row>
    <row r="24">
      <c r="A24" s="1">
        <v>23.0</v>
      </c>
      <c r="B24" s="1">
        <v>5.0</v>
      </c>
      <c r="C24" s="1">
        <v>3.0</v>
      </c>
      <c r="D24" s="1">
        <v>5.0</v>
      </c>
      <c r="E24" s="1">
        <v>6.0</v>
      </c>
    </row>
    <row r="25">
      <c r="A25" s="1">
        <v>24.0</v>
      </c>
      <c r="B25" s="1">
        <v>4.0</v>
      </c>
      <c r="C25" s="1">
        <v>3.0</v>
      </c>
      <c r="D25" s="1">
        <v>6.0</v>
      </c>
      <c r="E25" s="1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8.38"/>
    <col customWidth="1" min="4" max="4" width="6.13"/>
    <col customWidth="1" min="5" max="15" width="4.5"/>
    <col customWidth="1" min="16" max="16" width="3.63"/>
    <col customWidth="1" min="17" max="18" width="6.0"/>
    <col customWidth="1" min="19" max="19" width="7.63"/>
    <col customWidth="1" min="20" max="20" width="9.38"/>
    <col customWidth="1" min="21" max="21" width="6.0"/>
    <col customWidth="1" min="22" max="22" width="7.63"/>
    <col customWidth="1" min="23" max="23" width="9.38"/>
    <col customWidth="1" min="24" max="24" width="18.0"/>
  </cols>
  <sheetData>
    <row r="1">
      <c r="B1" s="1" t="s">
        <v>5</v>
      </c>
      <c r="C1" s="1" t="s">
        <v>5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>
      <c r="B3" s="1" t="s">
        <v>29</v>
      </c>
      <c r="C3" s="1" t="s">
        <v>29</v>
      </c>
      <c r="D3" s="1" t="s">
        <v>30</v>
      </c>
      <c r="E3" s="1" t="s">
        <v>30</v>
      </c>
      <c r="F3" s="1" t="s">
        <v>31</v>
      </c>
      <c r="G3" s="1" t="s">
        <v>30</v>
      </c>
      <c r="H3" s="1" t="s">
        <v>31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31</v>
      </c>
    </row>
    <row r="4">
      <c r="B4" s="1" t="s">
        <v>32</v>
      </c>
      <c r="C4" s="1" t="s">
        <v>32</v>
      </c>
      <c r="D4" s="1" t="s">
        <v>33</v>
      </c>
      <c r="E4" s="1">
        <v>17.0</v>
      </c>
      <c r="F4" s="1">
        <v>2.0</v>
      </c>
      <c r="G4" s="1">
        <v>15.0</v>
      </c>
      <c r="H4" s="1">
        <v>3.0</v>
      </c>
      <c r="I4" s="1">
        <v>15.0</v>
      </c>
      <c r="J4" s="1">
        <v>3.0</v>
      </c>
      <c r="K4" s="1">
        <v>20.0</v>
      </c>
      <c r="L4" s="1">
        <v>15.0</v>
      </c>
      <c r="M4" s="1">
        <v>11.0</v>
      </c>
      <c r="N4" s="1">
        <v>7.0</v>
      </c>
      <c r="O4" s="1">
        <v>15.0</v>
      </c>
      <c r="P4" s="2">
        <f t="shared" ref="P4:P16" si="1">counta(D4:O4)</f>
        <v>12</v>
      </c>
      <c r="Q4" s="3">
        <f t="shared" ref="Q4:Q16" si="2">AVERAGE(D4:O4)</f>
        <v>11.18181818</v>
      </c>
      <c r="R4" s="2">
        <f t="shared" ref="R4:R16" si="3">MEDIAN(D4:O4)</f>
        <v>15</v>
      </c>
      <c r="S4" s="4">
        <f t="shared" ref="S4:S16" si="4">STDEV(D4:O4)</f>
        <v>6.368958813</v>
      </c>
    </row>
    <row r="5">
      <c r="A5" s="1" t="s">
        <v>34</v>
      </c>
      <c r="B5" s="1" t="s">
        <v>35</v>
      </c>
      <c r="C5" s="2" t="str">
        <f t="shared" ref="C5:C16" si="5">left(A5,3)&amp;"_"&amp;B5</f>
        <v>事例①_条件1</v>
      </c>
      <c r="D5" s="1">
        <v>3.0</v>
      </c>
      <c r="E5" s="1">
        <v>3.0</v>
      </c>
      <c r="F5" s="1">
        <v>3.0</v>
      </c>
      <c r="G5" s="1">
        <v>3.0</v>
      </c>
      <c r="H5" s="1">
        <v>3.0</v>
      </c>
      <c r="I5" s="1">
        <v>3.0</v>
      </c>
      <c r="J5" s="1">
        <v>3.0</v>
      </c>
      <c r="K5" s="1">
        <v>3.0</v>
      </c>
      <c r="L5" s="1">
        <v>3.0</v>
      </c>
      <c r="M5" s="1">
        <v>3.0</v>
      </c>
      <c r="N5" s="1">
        <v>2.0</v>
      </c>
      <c r="O5" s="1">
        <v>2.0</v>
      </c>
      <c r="P5" s="2">
        <f t="shared" si="1"/>
        <v>12</v>
      </c>
      <c r="Q5" s="3">
        <f t="shared" si="2"/>
        <v>2.833333333</v>
      </c>
      <c r="R5" s="2">
        <f t="shared" si="3"/>
        <v>3</v>
      </c>
      <c r="S5" s="4">
        <f t="shared" si="4"/>
        <v>0.3892494721</v>
      </c>
      <c r="U5" s="2">
        <f t="shared" ref="U5:U16" si="6">sum(D5:O5)</f>
        <v>34</v>
      </c>
      <c r="V5" s="5">
        <f t="shared" ref="V5:V16" si="7">U5/P5</f>
        <v>2.833333333</v>
      </c>
      <c r="W5" s="2">
        <f>12*P5/(3*(3+1))*(Q5^2+Q6^2+Q7)-3*P5*(3+1)</f>
        <v>14.33333333</v>
      </c>
      <c r="X5" s="1" t="s">
        <v>36</v>
      </c>
      <c r="Y5" s="1" t="s">
        <v>37</v>
      </c>
    </row>
    <row r="6">
      <c r="A6" s="1" t="s">
        <v>34</v>
      </c>
      <c r="B6" s="1" t="s">
        <v>38</v>
      </c>
      <c r="C6" s="2" t="str">
        <f t="shared" si="5"/>
        <v>事例①_条件2</v>
      </c>
      <c r="D6" s="1">
        <v>2.0</v>
      </c>
      <c r="E6" s="1">
        <v>2.0</v>
      </c>
      <c r="F6" s="1">
        <v>1.0</v>
      </c>
      <c r="G6" s="1">
        <v>2.0</v>
      </c>
      <c r="H6" s="1">
        <v>2.0</v>
      </c>
      <c r="I6" s="1">
        <v>2.0</v>
      </c>
      <c r="J6" s="1">
        <v>2.0</v>
      </c>
      <c r="K6" s="1">
        <v>1.0</v>
      </c>
      <c r="L6" s="1">
        <v>2.0</v>
      </c>
      <c r="M6" s="1">
        <v>2.0</v>
      </c>
      <c r="N6" s="1">
        <v>3.0</v>
      </c>
      <c r="O6" s="1">
        <v>3.0</v>
      </c>
      <c r="P6" s="2">
        <f t="shared" si="1"/>
        <v>12</v>
      </c>
      <c r="Q6" s="3">
        <f t="shared" si="2"/>
        <v>2</v>
      </c>
      <c r="R6" s="2">
        <f t="shared" si="3"/>
        <v>2</v>
      </c>
      <c r="S6" s="4">
        <f t="shared" si="4"/>
        <v>0.6030226892</v>
      </c>
      <c r="U6" s="2">
        <f t="shared" si="6"/>
        <v>24</v>
      </c>
      <c r="V6" s="5">
        <f t="shared" si="7"/>
        <v>2</v>
      </c>
    </row>
    <row r="7">
      <c r="A7" s="1" t="s">
        <v>34</v>
      </c>
      <c r="B7" s="1" t="s">
        <v>39</v>
      </c>
      <c r="C7" s="2" t="str">
        <f t="shared" si="5"/>
        <v>事例①_条件3</v>
      </c>
      <c r="D7" s="1">
        <v>1.0</v>
      </c>
      <c r="E7" s="1">
        <v>1.0</v>
      </c>
      <c r="F7" s="1">
        <v>2.0</v>
      </c>
      <c r="G7" s="1">
        <v>1.0</v>
      </c>
      <c r="H7" s="1">
        <v>1.0</v>
      </c>
      <c r="I7" s="1">
        <v>1.0</v>
      </c>
      <c r="J7" s="1">
        <v>1.0</v>
      </c>
      <c r="K7" s="1">
        <v>2.0</v>
      </c>
      <c r="L7" s="1">
        <v>1.0</v>
      </c>
      <c r="M7" s="1">
        <v>1.0</v>
      </c>
      <c r="N7" s="1">
        <v>1.0</v>
      </c>
      <c r="O7" s="1">
        <v>1.0</v>
      </c>
      <c r="P7" s="2">
        <f t="shared" si="1"/>
        <v>12</v>
      </c>
      <c r="Q7" s="3">
        <f t="shared" si="2"/>
        <v>1.166666667</v>
      </c>
      <c r="R7" s="2">
        <f t="shared" si="3"/>
        <v>1</v>
      </c>
      <c r="S7" s="4">
        <f t="shared" si="4"/>
        <v>0.3892494721</v>
      </c>
      <c r="U7" s="2">
        <f t="shared" si="6"/>
        <v>14</v>
      </c>
      <c r="V7" s="5">
        <f t="shared" si="7"/>
        <v>1.166666667</v>
      </c>
    </row>
    <row r="8">
      <c r="A8" s="1" t="s">
        <v>40</v>
      </c>
      <c r="B8" s="1" t="s">
        <v>35</v>
      </c>
      <c r="C8" s="2" t="str">
        <f t="shared" si="5"/>
        <v>事例②_条件1</v>
      </c>
      <c r="D8" s="1">
        <v>3.0</v>
      </c>
      <c r="E8" s="1">
        <v>3.0</v>
      </c>
      <c r="F8" s="1">
        <v>3.0</v>
      </c>
      <c r="G8" s="1">
        <v>3.0</v>
      </c>
      <c r="H8" s="1">
        <v>3.0</v>
      </c>
      <c r="I8" s="1">
        <v>3.0</v>
      </c>
      <c r="J8" s="1">
        <v>3.0</v>
      </c>
      <c r="K8" s="1">
        <v>3.0</v>
      </c>
      <c r="L8" s="1">
        <v>3.0</v>
      </c>
      <c r="M8" s="1">
        <v>3.0</v>
      </c>
      <c r="N8" s="1">
        <v>1.0</v>
      </c>
      <c r="O8" s="1">
        <v>2.0</v>
      </c>
      <c r="P8" s="2">
        <f t="shared" si="1"/>
        <v>12</v>
      </c>
      <c r="Q8" s="3">
        <f t="shared" si="2"/>
        <v>2.75</v>
      </c>
      <c r="R8" s="2">
        <f t="shared" si="3"/>
        <v>3</v>
      </c>
      <c r="S8" s="4">
        <f t="shared" si="4"/>
        <v>0.6215815605</v>
      </c>
      <c r="U8" s="2">
        <f t="shared" si="6"/>
        <v>33</v>
      </c>
      <c r="V8" s="5">
        <f t="shared" si="7"/>
        <v>2.75</v>
      </c>
      <c r="W8" s="2">
        <f>12*P8/(3*(3+1))*(Q8^2+Q9^2+Q10)-3*P8*(3+1)</f>
        <v>6.833333333</v>
      </c>
      <c r="X8" s="1" t="s">
        <v>36</v>
      </c>
      <c r="Y8" s="1" t="s">
        <v>37</v>
      </c>
    </row>
    <row r="9">
      <c r="A9" s="1" t="s">
        <v>40</v>
      </c>
      <c r="B9" s="1" t="s">
        <v>38</v>
      </c>
      <c r="C9" s="2" t="str">
        <f t="shared" si="5"/>
        <v>事例②_条件2</v>
      </c>
      <c r="D9" s="1">
        <v>2.0</v>
      </c>
      <c r="E9" s="1">
        <v>2.0</v>
      </c>
      <c r="F9" s="1">
        <v>2.0</v>
      </c>
      <c r="G9" s="1">
        <v>2.0</v>
      </c>
      <c r="H9" s="1">
        <v>2.0</v>
      </c>
      <c r="I9" s="1">
        <v>2.0</v>
      </c>
      <c r="J9" s="1">
        <v>2.0</v>
      </c>
      <c r="K9" s="1">
        <v>1.0</v>
      </c>
      <c r="L9" s="1">
        <v>2.0</v>
      </c>
      <c r="M9" s="1">
        <v>1.0</v>
      </c>
      <c r="N9" s="1">
        <v>2.0</v>
      </c>
      <c r="O9" s="1">
        <v>3.0</v>
      </c>
      <c r="P9" s="2">
        <f t="shared" si="1"/>
        <v>12</v>
      </c>
      <c r="Q9" s="3">
        <f t="shared" si="2"/>
        <v>1.916666667</v>
      </c>
      <c r="R9" s="2">
        <f t="shared" si="3"/>
        <v>2</v>
      </c>
      <c r="S9" s="4">
        <f t="shared" si="4"/>
        <v>0.5149286505</v>
      </c>
      <c r="U9" s="2">
        <f t="shared" si="6"/>
        <v>23</v>
      </c>
      <c r="V9" s="5">
        <f t="shared" si="7"/>
        <v>1.916666667</v>
      </c>
    </row>
    <row r="10">
      <c r="A10" s="1" t="s">
        <v>40</v>
      </c>
      <c r="B10" s="1" t="s">
        <v>39</v>
      </c>
      <c r="C10" s="2" t="str">
        <f t="shared" si="5"/>
        <v>事例②_条件3</v>
      </c>
      <c r="D10" s="1">
        <v>1.0</v>
      </c>
      <c r="E10" s="1">
        <v>1.0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2.0</v>
      </c>
      <c r="L10" s="1">
        <v>1.0</v>
      </c>
      <c r="M10" s="1">
        <v>2.0</v>
      </c>
      <c r="N10" s="1">
        <v>3.0</v>
      </c>
      <c r="O10" s="1">
        <v>1.0</v>
      </c>
      <c r="P10" s="2">
        <f t="shared" si="1"/>
        <v>12</v>
      </c>
      <c r="Q10" s="3">
        <f t="shared" si="2"/>
        <v>1.333333333</v>
      </c>
      <c r="R10" s="2">
        <f t="shared" si="3"/>
        <v>1</v>
      </c>
      <c r="S10" s="4">
        <f t="shared" si="4"/>
        <v>0.6513389473</v>
      </c>
      <c r="U10" s="2">
        <f t="shared" si="6"/>
        <v>16</v>
      </c>
      <c r="V10" s="5">
        <f t="shared" si="7"/>
        <v>1.333333333</v>
      </c>
    </row>
    <row r="11">
      <c r="A11" s="1" t="s">
        <v>41</v>
      </c>
      <c r="B11" s="1" t="s">
        <v>35</v>
      </c>
      <c r="C11" s="2" t="str">
        <f t="shared" si="5"/>
        <v>事例③_条件1</v>
      </c>
      <c r="D11" s="1">
        <v>3.0</v>
      </c>
      <c r="E11" s="1">
        <v>3.0</v>
      </c>
      <c r="F11" s="1">
        <v>3.0</v>
      </c>
      <c r="G11" s="1">
        <v>3.0</v>
      </c>
      <c r="H11" s="1">
        <v>3.0</v>
      </c>
      <c r="I11" s="1">
        <v>3.0</v>
      </c>
      <c r="J11" s="1">
        <v>3.0</v>
      </c>
      <c r="K11" s="1">
        <v>1.0</v>
      </c>
      <c r="L11" s="1">
        <v>3.0</v>
      </c>
      <c r="M11" s="1">
        <v>3.0</v>
      </c>
      <c r="N11" s="1">
        <v>1.0</v>
      </c>
      <c r="O11" s="1">
        <v>3.0</v>
      </c>
      <c r="P11" s="2">
        <f t="shared" si="1"/>
        <v>12</v>
      </c>
      <c r="Q11" s="3">
        <f t="shared" si="2"/>
        <v>2.666666667</v>
      </c>
      <c r="R11" s="2">
        <f t="shared" si="3"/>
        <v>3</v>
      </c>
      <c r="S11" s="4">
        <f t="shared" si="4"/>
        <v>0.7784989442</v>
      </c>
      <c r="U11" s="2">
        <f t="shared" si="6"/>
        <v>32</v>
      </c>
      <c r="V11" s="5">
        <f t="shared" si="7"/>
        <v>2.666666667</v>
      </c>
      <c r="W11" s="2">
        <f>12*P11/(3*(3+1))*(Q11^2+Q12^2+Q13)-3*P11*(3+1)</f>
        <v>2.416666667</v>
      </c>
      <c r="X11" s="1" t="s">
        <v>42</v>
      </c>
      <c r="Y11" s="1" t="s">
        <v>37</v>
      </c>
    </row>
    <row r="12">
      <c r="A12" s="1" t="s">
        <v>41</v>
      </c>
      <c r="B12" s="1" t="s">
        <v>38</v>
      </c>
      <c r="C12" s="2" t="str">
        <f t="shared" si="5"/>
        <v>事例③_条件2</v>
      </c>
      <c r="D12" s="1">
        <v>2.0</v>
      </c>
      <c r="E12" s="1">
        <v>2.0</v>
      </c>
      <c r="F12" s="1">
        <v>1.0</v>
      </c>
      <c r="G12" s="1">
        <v>2.0</v>
      </c>
      <c r="H12" s="1">
        <v>2.0</v>
      </c>
      <c r="I12" s="1">
        <v>2.0</v>
      </c>
      <c r="J12" s="1">
        <v>2.0</v>
      </c>
      <c r="K12" s="1">
        <v>3.0</v>
      </c>
      <c r="L12" s="1">
        <v>2.0</v>
      </c>
      <c r="M12" s="1">
        <v>1.0</v>
      </c>
      <c r="N12" s="1">
        <v>2.0</v>
      </c>
      <c r="O12" s="1">
        <v>2.0</v>
      </c>
      <c r="P12" s="2">
        <f t="shared" si="1"/>
        <v>12</v>
      </c>
      <c r="Q12" s="3">
        <f t="shared" si="2"/>
        <v>1.916666667</v>
      </c>
      <c r="R12" s="2">
        <f t="shared" si="3"/>
        <v>2</v>
      </c>
      <c r="S12" s="4">
        <f t="shared" si="4"/>
        <v>0.5149286505</v>
      </c>
      <c r="U12" s="2">
        <f t="shared" si="6"/>
        <v>23</v>
      </c>
      <c r="V12" s="5">
        <f t="shared" si="7"/>
        <v>1.916666667</v>
      </c>
    </row>
    <row r="13">
      <c r="A13" s="1" t="s">
        <v>41</v>
      </c>
      <c r="B13" s="1" t="s">
        <v>39</v>
      </c>
      <c r="C13" s="2" t="str">
        <f t="shared" si="5"/>
        <v>事例③_条件3</v>
      </c>
      <c r="D13" s="1">
        <v>1.0</v>
      </c>
      <c r="E13" s="1">
        <v>1.0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2.0</v>
      </c>
      <c r="L13" s="1">
        <v>1.0</v>
      </c>
      <c r="M13" s="1">
        <v>2.0</v>
      </c>
      <c r="N13" s="1">
        <v>3.0</v>
      </c>
      <c r="O13" s="1">
        <v>1.0</v>
      </c>
      <c r="P13" s="2">
        <f t="shared" si="1"/>
        <v>12</v>
      </c>
      <c r="Q13" s="3">
        <f t="shared" si="2"/>
        <v>1.416666667</v>
      </c>
      <c r="R13" s="2">
        <f t="shared" si="3"/>
        <v>1</v>
      </c>
      <c r="S13" s="4">
        <f t="shared" si="4"/>
        <v>0.6685579234</v>
      </c>
      <c r="U13" s="2">
        <f t="shared" si="6"/>
        <v>17</v>
      </c>
      <c r="V13" s="5">
        <f t="shared" si="7"/>
        <v>1.416666667</v>
      </c>
    </row>
    <row r="14">
      <c r="A14" s="1" t="s">
        <v>43</v>
      </c>
      <c r="B14" s="1" t="s">
        <v>35</v>
      </c>
      <c r="C14" s="2" t="str">
        <f t="shared" si="5"/>
        <v>事例④_条件1</v>
      </c>
      <c r="D14" s="1">
        <v>3.0</v>
      </c>
      <c r="E14" s="1">
        <v>3.0</v>
      </c>
      <c r="F14" s="1">
        <v>3.0</v>
      </c>
      <c r="G14" s="1">
        <v>3.0</v>
      </c>
      <c r="H14" s="1">
        <v>3.0</v>
      </c>
      <c r="I14" s="1">
        <v>3.0</v>
      </c>
      <c r="J14" s="1">
        <v>3.0</v>
      </c>
      <c r="K14" s="1">
        <v>3.0</v>
      </c>
      <c r="L14" s="1">
        <v>3.0</v>
      </c>
      <c r="M14" s="1">
        <v>1.0</v>
      </c>
      <c r="N14" s="1">
        <v>1.0</v>
      </c>
      <c r="O14" s="1">
        <v>3.0</v>
      </c>
      <c r="P14" s="2">
        <f t="shared" si="1"/>
        <v>12</v>
      </c>
      <c r="Q14" s="3">
        <f t="shared" si="2"/>
        <v>2.666666667</v>
      </c>
      <c r="R14" s="2">
        <f t="shared" si="3"/>
        <v>3</v>
      </c>
      <c r="S14" s="4">
        <f t="shared" si="4"/>
        <v>0.7784989442</v>
      </c>
      <c r="U14" s="2">
        <f t="shared" si="6"/>
        <v>32</v>
      </c>
      <c r="V14" s="5">
        <f t="shared" si="7"/>
        <v>2.666666667</v>
      </c>
      <c r="W14" s="2">
        <f>12*P14/(3*(3+1))*(Q14^2+Q15^2+Q16)-3*P14*(3+1)</f>
        <v>2.416666667</v>
      </c>
      <c r="X14" s="1" t="s">
        <v>42</v>
      </c>
      <c r="Y14" s="1" t="s">
        <v>37</v>
      </c>
    </row>
    <row r="15">
      <c r="A15" s="1" t="s">
        <v>43</v>
      </c>
      <c r="B15" s="1" t="s">
        <v>38</v>
      </c>
      <c r="C15" s="2" t="str">
        <f t="shared" si="5"/>
        <v>事例④_条件2</v>
      </c>
      <c r="D15" s="1">
        <v>2.0</v>
      </c>
      <c r="E15" s="1">
        <v>2.0</v>
      </c>
      <c r="F15" s="1">
        <v>1.0</v>
      </c>
      <c r="G15" s="1">
        <v>2.0</v>
      </c>
      <c r="H15" s="1">
        <v>2.0</v>
      </c>
      <c r="I15" s="1">
        <v>2.0</v>
      </c>
      <c r="J15" s="1">
        <v>2.0</v>
      </c>
      <c r="K15" s="1">
        <v>1.0</v>
      </c>
      <c r="L15" s="1">
        <v>2.0</v>
      </c>
      <c r="M15" s="1">
        <v>3.0</v>
      </c>
      <c r="N15" s="1">
        <v>2.0</v>
      </c>
      <c r="O15" s="1">
        <v>2.0</v>
      </c>
      <c r="P15" s="2">
        <f t="shared" si="1"/>
        <v>12</v>
      </c>
      <c r="Q15" s="3">
        <f t="shared" si="2"/>
        <v>1.916666667</v>
      </c>
      <c r="R15" s="2">
        <f t="shared" si="3"/>
        <v>2</v>
      </c>
      <c r="S15" s="4">
        <f t="shared" si="4"/>
        <v>0.5149286505</v>
      </c>
      <c r="U15" s="2">
        <f t="shared" si="6"/>
        <v>23</v>
      </c>
      <c r="V15" s="5">
        <f t="shared" si="7"/>
        <v>1.916666667</v>
      </c>
    </row>
    <row r="16">
      <c r="A16" s="1" t="s">
        <v>43</v>
      </c>
      <c r="B16" s="1" t="s">
        <v>39</v>
      </c>
      <c r="C16" s="2" t="str">
        <f t="shared" si="5"/>
        <v>事例④_条件3</v>
      </c>
      <c r="D16" s="1">
        <v>1.0</v>
      </c>
      <c r="E16" s="1">
        <v>1.0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2.0</v>
      </c>
      <c r="L16" s="1">
        <v>1.0</v>
      </c>
      <c r="M16" s="1">
        <v>2.0</v>
      </c>
      <c r="N16" s="1">
        <v>3.0</v>
      </c>
      <c r="O16" s="1">
        <v>1.0</v>
      </c>
      <c r="P16" s="2">
        <f t="shared" si="1"/>
        <v>12</v>
      </c>
      <c r="Q16" s="3">
        <f t="shared" si="2"/>
        <v>1.416666667</v>
      </c>
      <c r="R16" s="2">
        <f t="shared" si="3"/>
        <v>1</v>
      </c>
      <c r="S16" s="4">
        <f t="shared" si="4"/>
        <v>0.6685579234</v>
      </c>
      <c r="U16" s="2">
        <f t="shared" si="6"/>
        <v>17</v>
      </c>
      <c r="V16" s="5">
        <f t="shared" si="7"/>
        <v>1.416666667</v>
      </c>
    </row>
    <row r="19">
      <c r="A19" s="6" t="s">
        <v>44</v>
      </c>
    </row>
    <row r="21">
      <c r="A21" s="1" t="s">
        <v>34</v>
      </c>
      <c r="B21" s="1" t="s">
        <v>45</v>
      </c>
      <c r="C21" s="1"/>
      <c r="D21" s="2">
        <f t="shared" ref="D21:O21" si="8">D5-D6</f>
        <v>1</v>
      </c>
      <c r="E21" s="2">
        <f t="shared" si="8"/>
        <v>1</v>
      </c>
      <c r="F21" s="2">
        <f t="shared" si="8"/>
        <v>2</v>
      </c>
      <c r="G21" s="2">
        <f t="shared" si="8"/>
        <v>1</v>
      </c>
      <c r="H21" s="2">
        <f t="shared" si="8"/>
        <v>1</v>
      </c>
      <c r="I21" s="2">
        <f t="shared" si="8"/>
        <v>1</v>
      </c>
      <c r="J21" s="2">
        <f t="shared" si="8"/>
        <v>1</v>
      </c>
      <c r="K21" s="2">
        <f t="shared" si="8"/>
        <v>2</v>
      </c>
      <c r="L21" s="2">
        <f t="shared" si="8"/>
        <v>1</v>
      </c>
      <c r="M21" s="2">
        <f t="shared" si="8"/>
        <v>1</v>
      </c>
      <c r="N21" s="2">
        <f t="shared" si="8"/>
        <v>-1</v>
      </c>
      <c r="O21" s="2">
        <f t="shared" si="8"/>
        <v>-1</v>
      </c>
    </row>
    <row r="22">
      <c r="B22" s="1" t="s">
        <v>46</v>
      </c>
      <c r="C22" s="1"/>
      <c r="D22" s="2">
        <f t="shared" ref="D22:O22" si="9">D6-D7</f>
        <v>1</v>
      </c>
      <c r="E22" s="2">
        <f t="shared" si="9"/>
        <v>1</v>
      </c>
      <c r="F22" s="2">
        <f t="shared" si="9"/>
        <v>-1</v>
      </c>
      <c r="G22" s="2">
        <f t="shared" si="9"/>
        <v>1</v>
      </c>
      <c r="H22" s="2">
        <f t="shared" si="9"/>
        <v>1</v>
      </c>
      <c r="I22" s="2">
        <f t="shared" si="9"/>
        <v>1</v>
      </c>
      <c r="J22" s="2">
        <f t="shared" si="9"/>
        <v>1</v>
      </c>
      <c r="K22" s="2">
        <f t="shared" si="9"/>
        <v>-1</v>
      </c>
      <c r="L22" s="2">
        <f t="shared" si="9"/>
        <v>1</v>
      </c>
      <c r="M22" s="2">
        <f t="shared" si="9"/>
        <v>1</v>
      </c>
      <c r="N22" s="2">
        <f t="shared" si="9"/>
        <v>2</v>
      </c>
      <c r="O22" s="2">
        <f t="shared" si="9"/>
        <v>2</v>
      </c>
    </row>
    <row r="23">
      <c r="A23" s="1"/>
      <c r="B23" s="1" t="s">
        <v>47</v>
      </c>
      <c r="C23" s="1"/>
      <c r="D23" s="2">
        <f t="shared" ref="D23:O23" si="10">D7-D8</f>
        <v>-2</v>
      </c>
      <c r="E23" s="2">
        <f t="shared" si="10"/>
        <v>-2</v>
      </c>
      <c r="F23" s="2">
        <f t="shared" si="10"/>
        <v>-1</v>
      </c>
      <c r="G23" s="2">
        <f t="shared" si="10"/>
        <v>-2</v>
      </c>
      <c r="H23" s="2">
        <f t="shared" si="10"/>
        <v>-2</v>
      </c>
      <c r="I23" s="2">
        <f t="shared" si="10"/>
        <v>-2</v>
      </c>
      <c r="J23" s="2">
        <f t="shared" si="10"/>
        <v>-2</v>
      </c>
      <c r="K23" s="2">
        <f t="shared" si="10"/>
        <v>-1</v>
      </c>
      <c r="L23" s="2">
        <f t="shared" si="10"/>
        <v>-2</v>
      </c>
      <c r="M23" s="2">
        <f t="shared" si="10"/>
        <v>-2</v>
      </c>
      <c r="N23" s="2">
        <f t="shared" si="10"/>
        <v>0</v>
      </c>
      <c r="O23" s="2">
        <f t="shared" si="10"/>
        <v>-1</v>
      </c>
    </row>
    <row r="24">
      <c r="A24" s="1" t="s">
        <v>40</v>
      </c>
      <c r="B24" s="1" t="s">
        <v>45</v>
      </c>
      <c r="C24" s="1"/>
      <c r="D24" s="2">
        <f t="shared" ref="D24:O24" si="11">D8-D9</f>
        <v>1</v>
      </c>
      <c r="E24" s="2">
        <f t="shared" si="11"/>
        <v>1</v>
      </c>
      <c r="F24" s="2">
        <f t="shared" si="11"/>
        <v>1</v>
      </c>
      <c r="G24" s="2">
        <f t="shared" si="11"/>
        <v>1</v>
      </c>
      <c r="H24" s="2">
        <f t="shared" si="11"/>
        <v>1</v>
      </c>
      <c r="I24" s="2">
        <f t="shared" si="11"/>
        <v>1</v>
      </c>
      <c r="J24" s="2">
        <f t="shared" si="11"/>
        <v>1</v>
      </c>
      <c r="K24" s="2">
        <f t="shared" si="11"/>
        <v>2</v>
      </c>
      <c r="L24" s="2">
        <f t="shared" si="11"/>
        <v>1</v>
      </c>
      <c r="M24" s="2">
        <f t="shared" si="11"/>
        <v>2</v>
      </c>
      <c r="N24" s="2">
        <f t="shared" si="11"/>
        <v>-1</v>
      </c>
      <c r="O24" s="2">
        <f t="shared" si="11"/>
        <v>-1</v>
      </c>
    </row>
    <row r="25">
      <c r="B25" s="1" t="s">
        <v>46</v>
      </c>
      <c r="C25" s="1"/>
      <c r="D25" s="2">
        <f t="shared" ref="D25:O25" si="12">D9-D10</f>
        <v>1</v>
      </c>
      <c r="E25" s="2">
        <f t="shared" si="12"/>
        <v>1</v>
      </c>
      <c r="F25" s="2">
        <f t="shared" si="12"/>
        <v>1</v>
      </c>
      <c r="G25" s="2">
        <f t="shared" si="12"/>
        <v>1</v>
      </c>
      <c r="H25" s="2">
        <f t="shared" si="12"/>
        <v>1</v>
      </c>
      <c r="I25" s="2">
        <f t="shared" si="12"/>
        <v>1</v>
      </c>
      <c r="J25" s="2">
        <f t="shared" si="12"/>
        <v>1</v>
      </c>
      <c r="K25" s="2">
        <f t="shared" si="12"/>
        <v>-1</v>
      </c>
      <c r="L25" s="2">
        <f t="shared" si="12"/>
        <v>1</v>
      </c>
      <c r="M25" s="2">
        <f t="shared" si="12"/>
        <v>-1</v>
      </c>
      <c r="N25" s="2">
        <f t="shared" si="12"/>
        <v>-1</v>
      </c>
      <c r="O25" s="2">
        <f t="shared" si="12"/>
        <v>2</v>
      </c>
    </row>
    <row r="26">
      <c r="B26" s="1" t="s">
        <v>47</v>
      </c>
      <c r="C26" s="1"/>
      <c r="D26" s="2">
        <f t="shared" ref="D26:O26" si="13">D10-D11</f>
        <v>-2</v>
      </c>
      <c r="E26" s="2">
        <f t="shared" si="13"/>
        <v>-2</v>
      </c>
      <c r="F26" s="2">
        <f t="shared" si="13"/>
        <v>-2</v>
      </c>
      <c r="G26" s="2">
        <f t="shared" si="13"/>
        <v>-2</v>
      </c>
      <c r="H26" s="2">
        <f t="shared" si="13"/>
        <v>-2</v>
      </c>
      <c r="I26" s="2">
        <f t="shared" si="13"/>
        <v>-2</v>
      </c>
      <c r="J26" s="2">
        <f t="shared" si="13"/>
        <v>-2</v>
      </c>
      <c r="K26" s="2">
        <f t="shared" si="13"/>
        <v>1</v>
      </c>
      <c r="L26" s="2">
        <f t="shared" si="13"/>
        <v>-2</v>
      </c>
      <c r="M26" s="2">
        <f t="shared" si="13"/>
        <v>-1</v>
      </c>
      <c r="N26" s="2">
        <f t="shared" si="13"/>
        <v>2</v>
      </c>
      <c r="O26" s="2">
        <f t="shared" si="13"/>
        <v>-2</v>
      </c>
    </row>
    <row r="27">
      <c r="A27" s="1" t="s">
        <v>41</v>
      </c>
      <c r="B27" s="1" t="s">
        <v>45</v>
      </c>
      <c r="C27" s="1"/>
      <c r="D27" s="2">
        <f t="shared" ref="D27:O27" si="14">D11-D12</f>
        <v>1</v>
      </c>
      <c r="E27" s="2">
        <f t="shared" si="14"/>
        <v>1</v>
      </c>
      <c r="F27" s="2">
        <f t="shared" si="14"/>
        <v>2</v>
      </c>
      <c r="G27" s="2">
        <f t="shared" si="14"/>
        <v>1</v>
      </c>
      <c r="H27" s="2">
        <f t="shared" si="14"/>
        <v>1</v>
      </c>
      <c r="I27" s="2">
        <f t="shared" si="14"/>
        <v>1</v>
      </c>
      <c r="J27" s="2">
        <f t="shared" si="14"/>
        <v>1</v>
      </c>
      <c r="K27" s="2">
        <f t="shared" si="14"/>
        <v>-2</v>
      </c>
      <c r="L27" s="2">
        <f t="shared" si="14"/>
        <v>1</v>
      </c>
      <c r="M27" s="2">
        <f t="shared" si="14"/>
        <v>2</v>
      </c>
      <c r="N27" s="2">
        <f t="shared" si="14"/>
        <v>-1</v>
      </c>
      <c r="O27" s="2">
        <f t="shared" si="14"/>
        <v>1</v>
      </c>
    </row>
    <row r="28">
      <c r="B28" s="1" t="s">
        <v>46</v>
      </c>
      <c r="C28" s="1"/>
      <c r="D28" s="2">
        <f t="shared" ref="D28:O28" si="15">D12-D13</f>
        <v>1</v>
      </c>
      <c r="E28" s="2">
        <f t="shared" si="15"/>
        <v>1</v>
      </c>
      <c r="F28" s="2">
        <f t="shared" si="15"/>
        <v>-1</v>
      </c>
      <c r="G28" s="2">
        <f t="shared" si="15"/>
        <v>1</v>
      </c>
      <c r="H28" s="2">
        <f t="shared" si="15"/>
        <v>1</v>
      </c>
      <c r="I28" s="2">
        <f t="shared" si="15"/>
        <v>1</v>
      </c>
      <c r="J28" s="2">
        <f t="shared" si="15"/>
        <v>1</v>
      </c>
      <c r="K28" s="2">
        <f t="shared" si="15"/>
        <v>1</v>
      </c>
      <c r="L28" s="2">
        <f t="shared" si="15"/>
        <v>1</v>
      </c>
      <c r="M28" s="2">
        <f t="shared" si="15"/>
        <v>-1</v>
      </c>
      <c r="N28" s="2">
        <f t="shared" si="15"/>
        <v>-1</v>
      </c>
      <c r="O28" s="2">
        <f t="shared" si="15"/>
        <v>1</v>
      </c>
    </row>
    <row r="29">
      <c r="B29" s="1" t="s">
        <v>47</v>
      </c>
      <c r="C29" s="1"/>
      <c r="D29" s="2">
        <f t="shared" ref="D29:O29" si="16">D13-D14</f>
        <v>-2</v>
      </c>
      <c r="E29" s="2">
        <f t="shared" si="16"/>
        <v>-2</v>
      </c>
      <c r="F29" s="2">
        <f t="shared" si="16"/>
        <v>-1</v>
      </c>
      <c r="G29" s="2">
        <f t="shared" si="16"/>
        <v>-2</v>
      </c>
      <c r="H29" s="2">
        <f t="shared" si="16"/>
        <v>-2</v>
      </c>
      <c r="I29" s="2">
        <f t="shared" si="16"/>
        <v>-2</v>
      </c>
      <c r="J29" s="2">
        <f t="shared" si="16"/>
        <v>-2</v>
      </c>
      <c r="K29" s="2">
        <f t="shared" si="16"/>
        <v>-1</v>
      </c>
      <c r="L29" s="2">
        <f t="shared" si="16"/>
        <v>-2</v>
      </c>
      <c r="M29" s="2">
        <f t="shared" si="16"/>
        <v>1</v>
      </c>
      <c r="N29" s="2">
        <f t="shared" si="16"/>
        <v>2</v>
      </c>
      <c r="O29" s="2">
        <f t="shared" si="16"/>
        <v>-2</v>
      </c>
    </row>
    <row r="30">
      <c r="A30" s="1" t="s">
        <v>43</v>
      </c>
      <c r="B30" s="1" t="s">
        <v>45</v>
      </c>
      <c r="C30" s="1"/>
      <c r="D30" s="2">
        <f t="shared" ref="D30:O30" si="17">D14-D15</f>
        <v>1</v>
      </c>
      <c r="E30" s="2">
        <f t="shared" si="17"/>
        <v>1</v>
      </c>
      <c r="F30" s="2">
        <f t="shared" si="17"/>
        <v>2</v>
      </c>
      <c r="G30" s="2">
        <f t="shared" si="17"/>
        <v>1</v>
      </c>
      <c r="H30" s="2">
        <f t="shared" si="17"/>
        <v>1</v>
      </c>
      <c r="I30" s="2">
        <f t="shared" si="17"/>
        <v>1</v>
      </c>
      <c r="J30" s="2">
        <f t="shared" si="17"/>
        <v>1</v>
      </c>
      <c r="K30" s="2">
        <f t="shared" si="17"/>
        <v>2</v>
      </c>
      <c r="L30" s="2">
        <f t="shared" si="17"/>
        <v>1</v>
      </c>
      <c r="M30" s="2">
        <f t="shared" si="17"/>
        <v>-2</v>
      </c>
      <c r="N30" s="2">
        <f t="shared" si="17"/>
        <v>-1</v>
      </c>
      <c r="O30" s="2">
        <f t="shared" si="17"/>
        <v>1</v>
      </c>
    </row>
    <row r="31">
      <c r="B31" s="1" t="s">
        <v>46</v>
      </c>
      <c r="C31" s="1"/>
      <c r="D31" s="2">
        <f t="shared" ref="D31:O31" si="18">D15-D16</f>
        <v>1</v>
      </c>
      <c r="E31" s="2">
        <f t="shared" si="18"/>
        <v>1</v>
      </c>
      <c r="F31" s="2">
        <f t="shared" si="18"/>
        <v>-1</v>
      </c>
      <c r="G31" s="2">
        <f t="shared" si="18"/>
        <v>1</v>
      </c>
      <c r="H31" s="2">
        <f t="shared" si="18"/>
        <v>1</v>
      </c>
      <c r="I31" s="2">
        <f t="shared" si="18"/>
        <v>1</v>
      </c>
      <c r="J31" s="2">
        <f t="shared" si="18"/>
        <v>1</v>
      </c>
      <c r="K31" s="2">
        <f t="shared" si="18"/>
        <v>-1</v>
      </c>
      <c r="L31" s="2">
        <f t="shared" si="18"/>
        <v>1</v>
      </c>
      <c r="M31" s="2">
        <f t="shared" si="18"/>
        <v>1</v>
      </c>
      <c r="N31" s="2">
        <f t="shared" si="18"/>
        <v>-1</v>
      </c>
      <c r="O31" s="2">
        <f t="shared" si="18"/>
        <v>1</v>
      </c>
    </row>
    <row r="32">
      <c r="B32" s="1" t="s">
        <v>47</v>
      </c>
      <c r="C32" s="1"/>
      <c r="D32" s="2">
        <f t="shared" ref="D32:O32" si="19">D16-D17</f>
        <v>1</v>
      </c>
      <c r="E32" s="2">
        <f t="shared" si="19"/>
        <v>1</v>
      </c>
      <c r="F32" s="2">
        <f t="shared" si="19"/>
        <v>2</v>
      </c>
      <c r="G32" s="2">
        <f t="shared" si="19"/>
        <v>1</v>
      </c>
      <c r="H32" s="2">
        <f t="shared" si="19"/>
        <v>1</v>
      </c>
      <c r="I32" s="2">
        <f t="shared" si="19"/>
        <v>1</v>
      </c>
      <c r="J32" s="2">
        <f t="shared" si="19"/>
        <v>1</v>
      </c>
      <c r="K32" s="2">
        <f t="shared" si="19"/>
        <v>2</v>
      </c>
      <c r="L32" s="2">
        <f t="shared" si="19"/>
        <v>1</v>
      </c>
      <c r="M32" s="2">
        <f t="shared" si="19"/>
        <v>2</v>
      </c>
      <c r="N32" s="2">
        <f t="shared" si="19"/>
        <v>3</v>
      </c>
      <c r="O32" s="2">
        <f t="shared" si="19"/>
        <v>1</v>
      </c>
    </row>
    <row r="35">
      <c r="A35" s="1" t="s">
        <v>48</v>
      </c>
    </row>
    <row r="36">
      <c r="A36" s="1" t="s">
        <v>34</v>
      </c>
      <c r="B36" s="1" t="s">
        <v>45</v>
      </c>
      <c r="C36" s="1"/>
      <c r="D36" s="2">
        <f t="shared" ref="D36:O36" si="20">abs(D5-D6)</f>
        <v>1</v>
      </c>
      <c r="E36" s="2">
        <f t="shared" si="20"/>
        <v>1</v>
      </c>
      <c r="F36" s="2">
        <f t="shared" si="20"/>
        <v>2</v>
      </c>
      <c r="G36" s="2">
        <f t="shared" si="20"/>
        <v>1</v>
      </c>
      <c r="H36" s="2">
        <f t="shared" si="20"/>
        <v>1</v>
      </c>
      <c r="I36" s="2">
        <f t="shared" si="20"/>
        <v>1</v>
      </c>
      <c r="J36" s="2">
        <f t="shared" si="20"/>
        <v>1</v>
      </c>
      <c r="K36" s="2">
        <f t="shared" si="20"/>
        <v>2</v>
      </c>
      <c r="L36" s="2">
        <f t="shared" si="20"/>
        <v>1</v>
      </c>
      <c r="M36" s="2">
        <f t="shared" si="20"/>
        <v>1</v>
      </c>
      <c r="N36" s="2">
        <f t="shared" si="20"/>
        <v>1</v>
      </c>
      <c r="O36" s="2">
        <f t="shared" si="20"/>
        <v>1</v>
      </c>
    </row>
    <row r="37">
      <c r="B37" s="1" t="s">
        <v>46</v>
      </c>
      <c r="C37" s="1"/>
      <c r="D37" s="2">
        <f t="shared" ref="D37:O37" si="21">abs(D5-D7)</f>
        <v>2</v>
      </c>
      <c r="E37" s="2">
        <f t="shared" si="21"/>
        <v>2</v>
      </c>
      <c r="F37" s="2">
        <f t="shared" si="21"/>
        <v>1</v>
      </c>
      <c r="G37" s="2">
        <f t="shared" si="21"/>
        <v>2</v>
      </c>
      <c r="H37" s="2">
        <f t="shared" si="21"/>
        <v>2</v>
      </c>
      <c r="I37" s="2">
        <f t="shared" si="21"/>
        <v>2</v>
      </c>
      <c r="J37" s="2">
        <f t="shared" si="21"/>
        <v>2</v>
      </c>
      <c r="K37" s="2">
        <f t="shared" si="21"/>
        <v>1</v>
      </c>
      <c r="L37" s="2">
        <f t="shared" si="21"/>
        <v>2</v>
      </c>
      <c r="M37" s="2">
        <f t="shared" si="21"/>
        <v>2</v>
      </c>
      <c r="N37" s="2">
        <f t="shared" si="21"/>
        <v>1</v>
      </c>
      <c r="O37" s="2">
        <f t="shared" si="21"/>
        <v>1</v>
      </c>
    </row>
    <row r="38">
      <c r="A38" s="1"/>
      <c r="B38" s="1" t="s">
        <v>47</v>
      </c>
      <c r="C38" s="1"/>
      <c r="D38" s="2">
        <f t="shared" ref="D38:O38" si="22">abs(D6-D7)</f>
        <v>1</v>
      </c>
      <c r="E38" s="2">
        <f t="shared" si="22"/>
        <v>1</v>
      </c>
      <c r="F38" s="2">
        <f t="shared" si="22"/>
        <v>1</v>
      </c>
      <c r="G38" s="2">
        <f t="shared" si="22"/>
        <v>1</v>
      </c>
      <c r="H38" s="2">
        <f t="shared" si="22"/>
        <v>1</v>
      </c>
      <c r="I38" s="2">
        <f t="shared" si="22"/>
        <v>1</v>
      </c>
      <c r="J38" s="2">
        <f t="shared" si="22"/>
        <v>1</v>
      </c>
      <c r="K38" s="2">
        <f t="shared" si="22"/>
        <v>1</v>
      </c>
      <c r="L38" s="2">
        <f t="shared" si="22"/>
        <v>1</v>
      </c>
      <c r="M38" s="2">
        <f t="shared" si="22"/>
        <v>1</v>
      </c>
      <c r="N38" s="2">
        <f t="shared" si="22"/>
        <v>2</v>
      </c>
      <c r="O38" s="2">
        <f t="shared" si="22"/>
        <v>2</v>
      </c>
    </row>
    <row r="39">
      <c r="A39" s="1" t="s">
        <v>40</v>
      </c>
      <c r="B39" s="1" t="s">
        <v>45</v>
      </c>
      <c r="C39" s="1"/>
      <c r="D39" s="2">
        <f t="shared" ref="D39:O39" si="23">abs(D8-D9)</f>
        <v>1</v>
      </c>
      <c r="E39" s="2">
        <f t="shared" si="23"/>
        <v>1</v>
      </c>
      <c r="F39" s="2">
        <f t="shared" si="23"/>
        <v>1</v>
      </c>
      <c r="G39" s="2">
        <f t="shared" si="23"/>
        <v>1</v>
      </c>
      <c r="H39" s="2">
        <f t="shared" si="23"/>
        <v>1</v>
      </c>
      <c r="I39" s="2">
        <f t="shared" si="23"/>
        <v>1</v>
      </c>
      <c r="J39" s="2">
        <f t="shared" si="23"/>
        <v>1</v>
      </c>
      <c r="K39" s="2">
        <f t="shared" si="23"/>
        <v>2</v>
      </c>
      <c r="L39" s="2">
        <f t="shared" si="23"/>
        <v>1</v>
      </c>
      <c r="M39" s="2">
        <f t="shared" si="23"/>
        <v>2</v>
      </c>
      <c r="N39" s="2">
        <f t="shared" si="23"/>
        <v>1</v>
      </c>
      <c r="O39" s="2">
        <f t="shared" si="23"/>
        <v>1</v>
      </c>
    </row>
    <row r="40">
      <c r="B40" s="1" t="s">
        <v>46</v>
      </c>
      <c r="C40" s="1"/>
      <c r="D40" s="2">
        <f t="shared" ref="D40:O40" si="24">abs(D8-D10)</f>
        <v>2</v>
      </c>
      <c r="E40" s="2">
        <f t="shared" si="24"/>
        <v>2</v>
      </c>
      <c r="F40" s="2">
        <f t="shared" si="24"/>
        <v>2</v>
      </c>
      <c r="G40" s="2">
        <f t="shared" si="24"/>
        <v>2</v>
      </c>
      <c r="H40" s="2">
        <f t="shared" si="24"/>
        <v>2</v>
      </c>
      <c r="I40" s="2">
        <f t="shared" si="24"/>
        <v>2</v>
      </c>
      <c r="J40" s="2">
        <f t="shared" si="24"/>
        <v>2</v>
      </c>
      <c r="K40" s="2">
        <f t="shared" si="24"/>
        <v>1</v>
      </c>
      <c r="L40" s="2">
        <f t="shared" si="24"/>
        <v>2</v>
      </c>
      <c r="M40" s="2">
        <f t="shared" si="24"/>
        <v>1</v>
      </c>
      <c r="N40" s="2">
        <f t="shared" si="24"/>
        <v>2</v>
      </c>
      <c r="O40" s="2">
        <f t="shared" si="24"/>
        <v>1</v>
      </c>
    </row>
    <row r="41">
      <c r="B41" s="1" t="s">
        <v>47</v>
      </c>
      <c r="C41" s="1"/>
      <c r="D41" s="2">
        <f t="shared" ref="D41:O41" si="25">abs(D9-D10)</f>
        <v>1</v>
      </c>
      <c r="E41" s="2">
        <f t="shared" si="25"/>
        <v>1</v>
      </c>
      <c r="F41" s="2">
        <f t="shared" si="25"/>
        <v>1</v>
      </c>
      <c r="G41" s="2">
        <f t="shared" si="25"/>
        <v>1</v>
      </c>
      <c r="H41" s="2">
        <f t="shared" si="25"/>
        <v>1</v>
      </c>
      <c r="I41" s="2">
        <f t="shared" si="25"/>
        <v>1</v>
      </c>
      <c r="J41" s="2">
        <f t="shared" si="25"/>
        <v>1</v>
      </c>
      <c r="K41" s="2">
        <f t="shared" si="25"/>
        <v>1</v>
      </c>
      <c r="L41" s="2">
        <f t="shared" si="25"/>
        <v>1</v>
      </c>
      <c r="M41" s="2">
        <f t="shared" si="25"/>
        <v>1</v>
      </c>
      <c r="N41" s="2">
        <f t="shared" si="25"/>
        <v>1</v>
      </c>
      <c r="O41" s="2">
        <f t="shared" si="25"/>
        <v>2</v>
      </c>
    </row>
    <row r="42">
      <c r="A42" s="1" t="s">
        <v>41</v>
      </c>
      <c r="B42" s="1" t="s">
        <v>45</v>
      </c>
      <c r="C42" s="1"/>
      <c r="D42" s="2">
        <f t="shared" ref="D42:O42" si="26">abs(D11-D12)</f>
        <v>1</v>
      </c>
      <c r="E42" s="2">
        <f t="shared" si="26"/>
        <v>1</v>
      </c>
      <c r="F42" s="2">
        <f t="shared" si="26"/>
        <v>2</v>
      </c>
      <c r="G42" s="2">
        <f t="shared" si="26"/>
        <v>1</v>
      </c>
      <c r="H42" s="2">
        <f t="shared" si="26"/>
        <v>1</v>
      </c>
      <c r="I42" s="2">
        <f t="shared" si="26"/>
        <v>1</v>
      </c>
      <c r="J42" s="2">
        <f t="shared" si="26"/>
        <v>1</v>
      </c>
      <c r="K42" s="2">
        <f t="shared" si="26"/>
        <v>2</v>
      </c>
      <c r="L42" s="2">
        <f t="shared" si="26"/>
        <v>1</v>
      </c>
      <c r="M42" s="2">
        <f t="shared" si="26"/>
        <v>2</v>
      </c>
      <c r="N42" s="2">
        <f t="shared" si="26"/>
        <v>1</v>
      </c>
      <c r="O42" s="2">
        <f t="shared" si="26"/>
        <v>1</v>
      </c>
    </row>
    <row r="43">
      <c r="B43" s="1" t="s">
        <v>46</v>
      </c>
      <c r="C43" s="1"/>
      <c r="D43" s="2">
        <f t="shared" ref="D43:O43" si="27">abs(D11-D13)</f>
        <v>2</v>
      </c>
      <c r="E43" s="2">
        <f t="shared" si="27"/>
        <v>2</v>
      </c>
      <c r="F43" s="2">
        <f t="shared" si="27"/>
        <v>1</v>
      </c>
      <c r="G43" s="2">
        <f t="shared" si="27"/>
        <v>2</v>
      </c>
      <c r="H43" s="2">
        <f t="shared" si="27"/>
        <v>2</v>
      </c>
      <c r="I43" s="2">
        <f t="shared" si="27"/>
        <v>2</v>
      </c>
      <c r="J43" s="2">
        <f t="shared" si="27"/>
        <v>2</v>
      </c>
      <c r="K43" s="2">
        <f t="shared" si="27"/>
        <v>1</v>
      </c>
      <c r="L43" s="2">
        <f t="shared" si="27"/>
        <v>2</v>
      </c>
      <c r="M43" s="2">
        <f t="shared" si="27"/>
        <v>1</v>
      </c>
      <c r="N43" s="2">
        <f t="shared" si="27"/>
        <v>2</v>
      </c>
      <c r="O43" s="2">
        <f t="shared" si="27"/>
        <v>2</v>
      </c>
    </row>
    <row r="44">
      <c r="B44" s="1" t="s">
        <v>47</v>
      </c>
      <c r="C44" s="1"/>
      <c r="D44" s="2">
        <f t="shared" ref="D44:O44" si="28">abs(D12-D13)</f>
        <v>1</v>
      </c>
      <c r="E44" s="2">
        <f t="shared" si="28"/>
        <v>1</v>
      </c>
      <c r="F44" s="2">
        <f t="shared" si="28"/>
        <v>1</v>
      </c>
      <c r="G44" s="2">
        <f t="shared" si="28"/>
        <v>1</v>
      </c>
      <c r="H44" s="2">
        <f t="shared" si="28"/>
        <v>1</v>
      </c>
      <c r="I44" s="2">
        <f t="shared" si="28"/>
        <v>1</v>
      </c>
      <c r="J44" s="2">
        <f t="shared" si="28"/>
        <v>1</v>
      </c>
      <c r="K44" s="2">
        <f t="shared" si="28"/>
        <v>1</v>
      </c>
      <c r="L44" s="2">
        <f t="shared" si="28"/>
        <v>1</v>
      </c>
      <c r="M44" s="2">
        <f t="shared" si="28"/>
        <v>1</v>
      </c>
      <c r="N44" s="2">
        <f t="shared" si="28"/>
        <v>1</v>
      </c>
      <c r="O44" s="2">
        <f t="shared" si="28"/>
        <v>1</v>
      </c>
    </row>
    <row r="45">
      <c r="A45" s="1" t="s">
        <v>43</v>
      </c>
      <c r="B45" s="1" t="s">
        <v>45</v>
      </c>
      <c r="C45" s="1"/>
      <c r="D45" s="2">
        <f t="shared" ref="D45:O45" si="29">abs(D14-D15)</f>
        <v>1</v>
      </c>
      <c r="E45" s="2">
        <f t="shared" si="29"/>
        <v>1</v>
      </c>
      <c r="F45" s="2">
        <f t="shared" si="29"/>
        <v>2</v>
      </c>
      <c r="G45" s="2">
        <f t="shared" si="29"/>
        <v>1</v>
      </c>
      <c r="H45" s="2">
        <f t="shared" si="29"/>
        <v>1</v>
      </c>
      <c r="I45" s="2">
        <f t="shared" si="29"/>
        <v>1</v>
      </c>
      <c r="J45" s="2">
        <f t="shared" si="29"/>
        <v>1</v>
      </c>
      <c r="K45" s="2">
        <f t="shared" si="29"/>
        <v>2</v>
      </c>
      <c r="L45" s="2">
        <f t="shared" si="29"/>
        <v>1</v>
      </c>
      <c r="M45" s="2">
        <f t="shared" si="29"/>
        <v>2</v>
      </c>
      <c r="N45" s="2">
        <f t="shared" si="29"/>
        <v>1</v>
      </c>
      <c r="O45" s="2">
        <f t="shared" si="29"/>
        <v>1</v>
      </c>
    </row>
    <row r="46">
      <c r="B46" s="1" t="s">
        <v>46</v>
      </c>
      <c r="C46" s="1"/>
      <c r="D46" s="2">
        <f t="shared" ref="D46:O46" si="30">abs(D14-D16)</f>
        <v>2</v>
      </c>
      <c r="E46" s="2">
        <f t="shared" si="30"/>
        <v>2</v>
      </c>
      <c r="F46" s="2">
        <f t="shared" si="30"/>
        <v>1</v>
      </c>
      <c r="G46" s="2">
        <f t="shared" si="30"/>
        <v>2</v>
      </c>
      <c r="H46" s="2">
        <f t="shared" si="30"/>
        <v>2</v>
      </c>
      <c r="I46" s="2">
        <f t="shared" si="30"/>
        <v>2</v>
      </c>
      <c r="J46" s="2">
        <f t="shared" si="30"/>
        <v>2</v>
      </c>
      <c r="K46" s="2">
        <f t="shared" si="30"/>
        <v>1</v>
      </c>
      <c r="L46" s="2">
        <f t="shared" si="30"/>
        <v>2</v>
      </c>
      <c r="M46" s="2">
        <f t="shared" si="30"/>
        <v>1</v>
      </c>
      <c r="N46" s="2">
        <f t="shared" si="30"/>
        <v>2</v>
      </c>
      <c r="O46" s="2">
        <f t="shared" si="30"/>
        <v>2</v>
      </c>
    </row>
    <row r="47">
      <c r="B47" s="1" t="s">
        <v>47</v>
      </c>
      <c r="C47" s="1"/>
      <c r="D47" s="2">
        <f t="shared" ref="D47:O47" si="31">abs(D15-D16)</f>
        <v>1</v>
      </c>
      <c r="E47" s="2">
        <f t="shared" si="31"/>
        <v>1</v>
      </c>
      <c r="F47" s="2">
        <f t="shared" si="31"/>
        <v>1</v>
      </c>
      <c r="G47" s="2">
        <f t="shared" si="31"/>
        <v>1</v>
      </c>
      <c r="H47" s="2">
        <f t="shared" si="31"/>
        <v>1</v>
      </c>
      <c r="I47" s="2">
        <f t="shared" si="31"/>
        <v>1</v>
      </c>
      <c r="J47" s="2">
        <f t="shared" si="31"/>
        <v>1</v>
      </c>
      <c r="K47" s="2">
        <f t="shared" si="31"/>
        <v>1</v>
      </c>
      <c r="L47" s="2">
        <f t="shared" si="31"/>
        <v>1</v>
      </c>
      <c r="M47" s="2">
        <f t="shared" si="31"/>
        <v>1</v>
      </c>
      <c r="N47" s="2">
        <f t="shared" si="31"/>
        <v>1</v>
      </c>
      <c r="O47" s="2">
        <f t="shared" si="31"/>
        <v>1</v>
      </c>
    </row>
    <row r="49">
      <c r="A49" s="1" t="s">
        <v>49</v>
      </c>
    </row>
    <row r="50">
      <c r="A50" s="1" t="s">
        <v>34</v>
      </c>
      <c r="B50" s="1" t="s">
        <v>45</v>
      </c>
      <c r="C50" s="1"/>
      <c r="D50" s="2">
        <f t="shared" ref="D50:O50" si="32">_xlfn.RANK.AVG(D36,$D36:$O36,1)</f>
        <v>5.5</v>
      </c>
      <c r="E50" s="2">
        <f t="shared" si="32"/>
        <v>5.5</v>
      </c>
      <c r="F50" s="2">
        <f t="shared" si="32"/>
        <v>11.5</v>
      </c>
      <c r="G50" s="2">
        <f t="shared" si="32"/>
        <v>5.5</v>
      </c>
      <c r="H50" s="2">
        <f t="shared" si="32"/>
        <v>5.5</v>
      </c>
      <c r="I50" s="2">
        <f t="shared" si="32"/>
        <v>5.5</v>
      </c>
      <c r="J50" s="2">
        <f t="shared" si="32"/>
        <v>5.5</v>
      </c>
      <c r="K50" s="2">
        <f t="shared" si="32"/>
        <v>11.5</v>
      </c>
      <c r="L50" s="2">
        <f t="shared" si="32"/>
        <v>5.5</v>
      </c>
      <c r="M50" s="2">
        <f t="shared" si="32"/>
        <v>5.5</v>
      </c>
      <c r="N50" s="2">
        <f t="shared" si="32"/>
        <v>5.5</v>
      </c>
      <c r="O50" s="2">
        <f t="shared" si="32"/>
        <v>5.5</v>
      </c>
    </row>
    <row r="51">
      <c r="B51" s="1" t="s">
        <v>46</v>
      </c>
      <c r="C51" s="1"/>
      <c r="D51" s="2">
        <f t="shared" ref="D51:O51" si="33">_xlfn.RANK.AVG(D37,$D37:$O37,1)</f>
        <v>8.5</v>
      </c>
      <c r="E51" s="2">
        <f t="shared" si="33"/>
        <v>8.5</v>
      </c>
      <c r="F51" s="2">
        <f t="shared" si="33"/>
        <v>2.5</v>
      </c>
      <c r="G51" s="2">
        <f t="shared" si="33"/>
        <v>8.5</v>
      </c>
      <c r="H51" s="2">
        <f t="shared" si="33"/>
        <v>8.5</v>
      </c>
      <c r="I51" s="2">
        <f t="shared" si="33"/>
        <v>8.5</v>
      </c>
      <c r="J51" s="2">
        <f t="shared" si="33"/>
        <v>8.5</v>
      </c>
      <c r="K51" s="2">
        <f t="shared" si="33"/>
        <v>2.5</v>
      </c>
      <c r="L51" s="2">
        <f t="shared" si="33"/>
        <v>8.5</v>
      </c>
      <c r="M51" s="2">
        <f t="shared" si="33"/>
        <v>8.5</v>
      </c>
      <c r="N51" s="2">
        <f t="shared" si="33"/>
        <v>2.5</v>
      </c>
      <c r="O51" s="2">
        <f t="shared" si="33"/>
        <v>2.5</v>
      </c>
    </row>
    <row r="52">
      <c r="A52" s="1"/>
      <c r="B52" s="1" t="s">
        <v>47</v>
      </c>
      <c r="C52" s="1"/>
      <c r="D52" s="2">
        <f t="shared" ref="D52:O52" si="34">_xlfn.RANK.AVG(D38,$D38:$O38,1)</f>
        <v>5.5</v>
      </c>
      <c r="E52" s="2">
        <f t="shared" si="34"/>
        <v>5.5</v>
      </c>
      <c r="F52" s="2">
        <f t="shared" si="34"/>
        <v>5.5</v>
      </c>
      <c r="G52" s="2">
        <f t="shared" si="34"/>
        <v>5.5</v>
      </c>
      <c r="H52" s="2">
        <f t="shared" si="34"/>
        <v>5.5</v>
      </c>
      <c r="I52" s="2">
        <f t="shared" si="34"/>
        <v>5.5</v>
      </c>
      <c r="J52" s="2">
        <f t="shared" si="34"/>
        <v>5.5</v>
      </c>
      <c r="K52" s="2">
        <f t="shared" si="34"/>
        <v>5.5</v>
      </c>
      <c r="L52" s="2">
        <f t="shared" si="34"/>
        <v>5.5</v>
      </c>
      <c r="M52" s="2">
        <f t="shared" si="34"/>
        <v>5.5</v>
      </c>
      <c r="N52" s="2">
        <f t="shared" si="34"/>
        <v>11.5</v>
      </c>
      <c r="O52" s="2">
        <f t="shared" si="34"/>
        <v>11.5</v>
      </c>
    </row>
    <row r="53">
      <c r="A53" s="1" t="s">
        <v>40</v>
      </c>
      <c r="B53" s="1" t="s">
        <v>45</v>
      </c>
      <c r="C53" s="1"/>
      <c r="D53" s="2">
        <f t="shared" ref="D53:O53" si="35">_xlfn.RANK.AVG(D39,$D39:$O39,1)</f>
        <v>5.5</v>
      </c>
      <c r="E53" s="2">
        <f t="shared" si="35"/>
        <v>5.5</v>
      </c>
      <c r="F53" s="2">
        <f t="shared" si="35"/>
        <v>5.5</v>
      </c>
      <c r="G53" s="2">
        <f t="shared" si="35"/>
        <v>5.5</v>
      </c>
      <c r="H53" s="2">
        <f t="shared" si="35"/>
        <v>5.5</v>
      </c>
      <c r="I53" s="2">
        <f t="shared" si="35"/>
        <v>5.5</v>
      </c>
      <c r="J53" s="2">
        <f t="shared" si="35"/>
        <v>5.5</v>
      </c>
      <c r="K53" s="2">
        <f t="shared" si="35"/>
        <v>11.5</v>
      </c>
      <c r="L53" s="2">
        <f t="shared" si="35"/>
        <v>5.5</v>
      </c>
      <c r="M53" s="2">
        <f t="shared" si="35"/>
        <v>11.5</v>
      </c>
      <c r="N53" s="2">
        <f t="shared" si="35"/>
        <v>5.5</v>
      </c>
      <c r="O53" s="2">
        <f t="shared" si="35"/>
        <v>5.5</v>
      </c>
    </row>
    <row r="54">
      <c r="B54" s="1" t="s">
        <v>46</v>
      </c>
      <c r="C54" s="1"/>
      <c r="D54" s="2">
        <f t="shared" ref="D54:O54" si="36">_xlfn.RANK.AVG(D40,$D40:$O40,1)</f>
        <v>8</v>
      </c>
      <c r="E54" s="2">
        <f t="shared" si="36"/>
        <v>8</v>
      </c>
      <c r="F54" s="2">
        <f t="shared" si="36"/>
        <v>8</v>
      </c>
      <c r="G54" s="2">
        <f t="shared" si="36"/>
        <v>8</v>
      </c>
      <c r="H54" s="2">
        <f t="shared" si="36"/>
        <v>8</v>
      </c>
      <c r="I54" s="2">
        <f t="shared" si="36"/>
        <v>8</v>
      </c>
      <c r="J54" s="2">
        <f t="shared" si="36"/>
        <v>8</v>
      </c>
      <c r="K54" s="2">
        <f t="shared" si="36"/>
        <v>2</v>
      </c>
      <c r="L54" s="2">
        <f t="shared" si="36"/>
        <v>8</v>
      </c>
      <c r="M54" s="2">
        <f t="shared" si="36"/>
        <v>2</v>
      </c>
      <c r="N54" s="2">
        <f t="shared" si="36"/>
        <v>8</v>
      </c>
      <c r="O54" s="2">
        <f t="shared" si="36"/>
        <v>2</v>
      </c>
    </row>
    <row r="55">
      <c r="B55" s="1" t="s">
        <v>47</v>
      </c>
      <c r="C55" s="1"/>
      <c r="D55" s="2">
        <f t="shared" ref="D55:O55" si="37">_xlfn.RANK.AVG(D41,$D41:$O41,1)</f>
        <v>6</v>
      </c>
      <c r="E55" s="2">
        <f t="shared" si="37"/>
        <v>6</v>
      </c>
      <c r="F55" s="2">
        <f t="shared" si="37"/>
        <v>6</v>
      </c>
      <c r="G55" s="2">
        <f t="shared" si="37"/>
        <v>6</v>
      </c>
      <c r="H55" s="2">
        <f t="shared" si="37"/>
        <v>6</v>
      </c>
      <c r="I55" s="2">
        <f t="shared" si="37"/>
        <v>6</v>
      </c>
      <c r="J55" s="2">
        <f t="shared" si="37"/>
        <v>6</v>
      </c>
      <c r="K55" s="2">
        <f t="shared" si="37"/>
        <v>6</v>
      </c>
      <c r="L55" s="2">
        <f t="shared" si="37"/>
        <v>6</v>
      </c>
      <c r="M55" s="2">
        <f t="shared" si="37"/>
        <v>6</v>
      </c>
      <c r="N55" s="2">
        <f t="shared" si="37"/>
        <v>6</v>
      </c>
      <c r="O55" s="2">
        <f t="shared" si="37"/>
        <v>12</v>
      </c>
    </row>
    <row r="56">
      <c r="A56" s="1" t="s">
        <v>41</v>
      </c>
      <c r="B56" s="1" t="s">
        <v>45</v>
      </c>
      <c r="C56" s="1"/>
      <c r="D56" s="2">
        <f t="shared" ref="D56:O56" si="38">_xlfn.RANK.AVG(D42,$D42:$O42,1)</f>
        <v>5</v>
      </c>
      <c r="E56" s="2">
        <f t="shared" si="38"/>
        <v>5</v>
      </c>
      <c r="F56" s="2">
        <f t="shared" si="38"/>
        <v>11</v>
      </c>
      <c r="G56" s="2">
        <f t="shared" si="38"/>
        <v>5</v>
      </c>
      <c r="H56" s="2">
        <f t="shared" si="38"/>
        <v>5</v>
      </c>
      <c r="I56" s="2">
        <f t="shared" si="38"/>
        <v>5</v>
      </c>
      <c r="J56" s="2">
        <f t="shared" si="38"/>
        <v>5</v>
      </c>
      <c r="K56" s="2">
        <f t="shared" si="38"/>
        <v>11</v>
      </c>
      <c r="L56" s="2">
        <f t="shared" si="38"/>
        <v>5</v>
      </c>
      <c r="M56" s="2">
        <f t="shared" si="38"/>
        <v>11</v>
      </c>
      <c r="N56" s="2">
        <f t="shared" si="38"/>
        <v>5</v>
      </c>
      <c r="O56" s="2">
        <f t="shared" si="38"/>
        <v>5</v>
      </c>
    </row>
    <row r="57">
      <c r="B57" s="1" t="s">
        <v>46</v>
      </c>
      <c r="C57" s="1"/>
      <c r="D57" s="2">
        <f t="shared" ref="D57:O57" si="39">_xlfn.RANK.AVG(D43,$D43:$O43,1)</f>
        <v>8</v>
      </c>
      <c r="E57" s="2">
        <f t="shared" si="39"/>
        <v>8</v>
      </c>
      <c r="F57" s="2">
        <f t="shared" si="39"/>
        <v>2</v>
      </c>
      <c r="G57" s="2">
        <f t="shared" si="39"/>
        <v>8</v>
      </c>
      <c r="H57" s="2">
        <f t="shared" si="39"/>
        <v>8</v>
      </c>
      <c r="I57" s="2">
        <f t="shared" si="39"/>
        <v>8</v>
      </c>
      <c r="J57" s="2">
        <f t="shared" si="39"/>
        <v>8</v>
      </c>
      <c r="K57" s="2">
        <f t="shared" si="39"/>
        <v>2</v>
      </c>
      <c r="L57" s="2">
        <f t="shared" si="39"/>
        <v>8</v>
      </c>
      <c r="M57" s="2">
        <f t="shared" si="39"/>
        <v>2</v>
      </c>
      <c r="N57" s="2">
        <f t="shared" si="39"/>
        <v>8</v>
      </c>
      <c r="O57" s="2">
        <f t="shared" si="39"/>
        <v>8</v>
      </c>
    </row>
    <row r="58">
      <c r="B58" s="1" t="s">
        <v>47</v>
      </c>
      <c r="C58" s="1"/>
      <c r="D58" s="2">
        <f t="shared" ref="D58:O58" si="40">_xlfn.RANK.AVG(D44,$D44:$O44,1)</f>
        <v>6.5</v>
      </c>
      <c r="E58" s="2">
        <f t="shared" si="40"/>
        <v>6.5</v>
      </c>
      <c r="F58" s="2">
        <f t="shared" si="40"/>
        <v>6.5</v>
      </c>
      <c r="G58" s="2">
        <f t="shared" si="40"/>
        <v>6.5</v>
      </c>
      <c r="H58" s="2">
        <f t="shared" si="40"/>
        <v>6.5</v>
      </c>
      <c r="I58" s="2">
        <f t="shared" si="40"/>
        <v>6.5</v>
      </c>
      <c r="J58" s="2">
        <f t="shared" si="40"/>
        <v>6.5</v>
      </c>
      <c r="K58" s="2">
        <f t="shared" si="40"/>
        <v>6.5</v>
      </c>
      <c r="L58" s="2">
        <f t="shared" si="40"/>
        <v>6.5</v>
      </c>
      <c r="M58" s="2">
        <f t="shared" si="40"/>
        <v>6.5</v>
      </c>
      <c r="N58" s="2">
        <f t="shared" si="40"/>
        <v>6.5</v>
      </c>
      <c r="O58" s="2">
        <f t="shared" si="40"/>
        <v>6.5</v>
      </c>
    </row>
    <row r="59">
      <c r="A59" s="1" t="s">
        <v>43</v>
      </c>
      <c r="B59" s="1" t="s">
        <v>45</v>
      </c>
      <c r="C59" s="1"/>
      <c r="D59" s="2">
        <f t="shared" ref="D59:O59" si="41">_xlfn.RANK.AVG(D45,$D45:$O45,1)</f>
        <v>5</v>
      </c>
      <c r="E59" s="2">
        <f t="shared" si="41"/>
        <v>5</v>
      </c>
      <c r="F59" s="2">
        <f t="shared" si="41"/>
        <v>11</v>
      </c>
      <c r="G59" s="2">
        <f t="shared" si="41"/>
        <v>5</v>
      </c>
      <c r="H59" s="2">
        <f t="shared" si="41"/>
        <v>5</v>
      </c>
      <c r="I59" s="2">
        <f t="shared" si="41"/>
        <v>5</v>
      </c>
      <c r="J59" s="2">
        <f t="shared" si="41"/>
        <v>5</v>
      </c>
      <c r="K59" s="2">
        <f t="shared" si="41"/>
        <v>11</v>
      </c>
      <c r="L59" s="2">
        <f t="shared" si="41"/>
        <v>5</v>
      </c>
      <c r="M59" s="2">
        <f t="shared" si="41"/>
        <v>11</v>
      </c>
      <c r="N59" s="2">
        <f t="shared" si="41"/>
        <v>5</v>
      </c>
      <c r="O59" s="2">
        <f t="shared" si="41"/>
        <v>5</v>
      </c>
    </row>
    <row r="60">
      <c r="B60" s="1" t="s">
        <v>46</v>
      </c>
      <c r="C60" s="1"/>
      <c r="D60" s="2">
        <f t="shared" ref="D60:O60" si="42">_xlfn.RANK.AVG(D46,$D46:$O46,1)</f>
        <v>8</v>
      </c>
      <c r="E60" s="2">
        <f t="shared" si="42"/>
        <v>8</v>
      </c>
      <c r="F60" s="2">
        <f t="shared" si="42"/>
        <v>2</v>
      </c>
      <c r="G60" s="2">
        <f t="shared" si="42"/>
        <v>8</v>
      </c>
      <c r="H60" s="2">
        <f t="shared" si="42"/>
        <v>8</v>
      </c>
      <c r="I60" s="2">
        <f t="shared" si="42"/>
        <v>8</v>
      </c>
      <c r="J60" s="2">
        <f t="shared" si="42"/>
        <v>8</v>
      </c>
      <c r="K60" s="2">
        <f t="shared" si="42"/>
        <v>2</v>
      </c>
      <c r="L60" s="2">
        <f t="shared" si="42"/>
        <v>8</v>
      </c>
      <c r="M60" s="2">
        <f t="shared" si="42"/>
        <v>2</v>
      </c>
      <c r="N60" s="2">
        <f t="shared" si="42"/>
        <v>8</v>
      </c>
      <c r="O60" s="2">
        <f t="shared" si="42"/>
        <v>8</v>
      </c>
    </row>
    <row r="61">
      <c r="B61" s="1" t="s">
        <v>47</v>
      </c>
      <c r="C61" s="1"/>
      <c r="D61" s="2">
        <f t="shared" ref="D61:O61" si="43">_xlfn.RANK.AVG(D47,$D47:$O47,1)</f>
        <v>6.5</v>
      </c>
      <c r="E61" s="2">
        <f t="shared" si="43"/>
        <v>6.5</v>
      </c>
      <c r="F61" s="2">
        <f t="shared" si="43"/>
        <v>6.5</v>
      </c>
      <c r="G61" s="2">
        <f t="shared" si="43"/>
        <v>6.5</v>
      </c>
      <c r="H61" s="2">
        <f t="shared" si="43"/>
        <v>6.5</v>
      </c>
      <c r="I61" s="2">
        <f t="shared" si="43"/>
        <v>6.5</v>
      </c>
      <c r="J61" s="2">
        <f t="shared" si="43"/>
        <v>6.5</v>
      </c>
      <c r="K61" s="2">
        <f t="shared" si="43"/>
        <v>6.5</v>
      </c>
      <c r="L61" s="2">
        <f t="shared" si="43"/>
        <v>6.5</v>
      </c>
      <c r="M61" s="2">
        <f t="shared" si="43"/>
        <v>6.5</v>
      </c>
      <c r="N61" s="2">
        <f t="shared" si="43"/>
        <v>6.5</v>
      </c>
      <c r="O61" s="2">
        <f t="shared" si="43"/>
        <v>6.5</v>
      </c>
    </row>
    <row r="63">
      <c r="A63" s="1" t="s">
        <v>50</v>
      </c>
      <c r="D63" s="1" t="s">
        <v>51</v>
      </c>
      <c r="E63" s="1" t="s">
        <v>52</v>
      </c>
    </row>
    <row r="64">
      <c r="A64" s="1" t="s">
        <v>34</v>
      </c>
      <c r="B64" s="1" t="s">
        <v>45</v>
      </c>
      <c r="C64" s="1"/>
      <c r="D64" s="2">
        <f t="shared" ref="D64:D75" si="44">sumif(D21:O21,"&gt;0",D50:O50)</f>
        <v>67</v>
      </c>
      <c r="E64" s="2">
        <f t="shared" ref="E64:E75" si="45">sumif(D21:O21,"&lt;0",D50:O50)</f>
        <v>11</v>
      </c>
    </row>
    <row r="65">
      <c r="B65" s="1" t="s">
        <v>46</v>
      </c>
      <c r="C65" s="1"/>
      <c r="D65" s="2">
        <f t="shared" si="44"/>
        <v>73</v>
      </c>
      <c r="E65" s="2">
        <f t="shared" si="45"/>
        <v>5</v>
      </c>
    </row>
    <row r="66">
      <c r="A66" s="1"/>
      <c r="B66" s="1" t="s">
        <v>47</v>
      </c>
      <c r="C66" s="1"/>
      <c r="D66" s="2">
        <f t="shared" si="44"/>
        <v>0</v>
      </c>
      <c r="E66" s="2">
        <f t="shared" si="45"/>
        <v>66.5</v>
      </c>
    </row>
    <row r="67">
      <c r="A67" s="1" t="s">
        <v>40</v>
      </c>
      <c r="B67" s="1" t="s">
        <v>45</v>
      </c>
      <c r="C67" s="1"/>
      <c r="D67" s="2">
        <f t="shared" si="44"/>
        <v>67</v>
      </c>
      <c r="E67" s="2">
        <f t="shared" si="45"/>
        <v>11</v>
      </c>
    </row>
    <row r="68">
      <c r="B68" s="1" t="s">
        <v>46</v>
      </c>
      <c r="C68" s="1"/>
      <c r="D68" s="2">
        <f t="shared" si="44"/>
        <v>66</v>
      </c>
      <c r="E68" s="2">
        <f t="shared" si="45"/>
        <v>12</v>
      </c>
    </row>
    <row r="69">
      <c r="B69" s="1" t="s">
        <v>47</v>
      </c>
      <c r="C69" s="1"/>
      <c r="D69" s="2">
        <f t="shared" si="44"/>
        <v>12</v>
      </c>
      <c r="E69" s="2">
        <f t="shared" si="45"/>
        <v>66</v>
      </c>
    </row>
    <row r="70">
      <c r="A70" s="1" t="s">
        <v>41</v>
      </c>
      <c r="B70" s="1" t="s">
        <v>45</v>
      </c>
      <c r="C70" s="1"/>
      <c r="D70" s="2">
        <f t="shared" si="44"/>
        <v>62</v>
      </c>
      <c r="E70" s="2">
        <f t="shared" si="45"/>
        <v>16</v>
      </c>
    </row>
    <row r="71">
      <c r="B71" s="1" t="s">
        <v>46</v>
      </c>
      <c r="C71" s="1"/>
      <c r="D71" s="2">
        <f t="shared" si="44"/>
        <v>66</v>
      </c>
      <c r="E71" s="2">
        <f t="shared" si="45"/>
        <v>12</v>
      </c>
    </row>
    <row r="72">
      <c r="B72" s="1" t="s">
        <v>47</v>
      </c>
      <c r="C72" s="1"/>
      <c r="D72" s="2">
        <f t="shared" si="44"/>
        <v>13</v>
      </c>
      <c r="E72" s="2">
        <f t="shared" si="45"/>
        <v>65</v>
      </c>
    </row>
    <row r="73">
      <c r="A73" s="1" t="s">
        <v>43</v>
      </c>
      <c r="B73" s="1" t="s">
        <v>45</v>
      </c>
      <c r="C73" s="1"/>
      <c r="D73" s="2">
        <f t="shared" si="44"/>
        <v>62</v>
      </c>
      <c r="E73" s="2">
        <f t="shared" si="45"/>
        <v>16</v>
      </c>
    </row>
    <row r="74">
      <c r="B74" s="1" t="s">
        <v>46</v>
      </c>
      <c r="C74" s="1"/>
      <c r="D74" s="2">
        <f t="shared" si="44"/>
        <v>66</v>
      </c>
      <c r="E74" s="2">
        <f t="shared" si="45"/>
        <v>12</v>
      </c>
    </row>
    <row r="75">
      <c r="B75" s="1" t="s">
        <v>47</v>
      </c>
      <c r="C75" s="1"/>
      <c r="D75" s="2">
        <f t="shared" si="44"/>
        <v>78</v>
      </c>
      <c r="E75" s="2">
        <f t="shared" si="45"/>
        <v>0</v>
      </c>
    </row>
    <row r="77">
      <c r="A77" s="1" t="s">
        <v>53</v>
      </c>
    </row>
    <row r="78">
      <c r="A78" s="1" t="s">
        <v>34</v>
      </c>
      <c r="B78" s="1" t="s">
        <v>45</v>
      </c>
      <c r="C78" s="1"/>
      <c r="D78" s="2">
        <f t="shared" ref="D78:D89" si="46">min(D64:E64)</f>
        <v>11</v>
      </c>
    </row>
    <row r="79">
      <c r="B79" s="1" t="s">
        <v>46</v>
      </c>
      <c r="C79" s="1"/>
      <c r="D79" s="2">
        <f t="shared" si="46"/>
        <v>5</v>
      </c>
    </row>
    <row r="80">
      <c r="A80" s="1"/>
      <c r="B80" s="1" t="s">
        <v>47</v>
      </c>
      <c r="C80" s="1"/>
      <c r="D80" s="2">
        <f t="shared" si="46"/>
        <v>0</v>
      </c>
    </row>
    <row r="81">
      <c r="A81" s="1" t="s">
        <v>40</v>
      </c>
      <c r="B81" s="1" t="s">
        <v>45</v>
      </c>
      <c r="C81" s="1"/>
      <c r="D81" s="2">
        <f t="shared" si="46"/>
        <v>11</v>
      </c>
    </row>
    <row r="82">
      <c r="B82" s="1" t="s">
        <v>46</v>
      </c>
      <c r="C82" s="1"/>
      <c r="D82" s="2">
        <f t="shared" si="46"/>
        <v>12</v>
      </c>
    </row>
    <row r="83">
      <c r="B83" s="1" t="s">
        <v>47</v>
      </c>
      <c r="C83" s="1"/>
      <c r="D83" s="2">
        <f t="shared" si="46"/>
        <v>12</v>
      </c>
    </row>
    <row r="84">
      <c r="A84" s="1" t="s">
        <v>41</v>
      </c>
      <c r="B84" s="1" t="s">
        <v>45</v>
      </c>
      <c r="C84" s="1"/>
      <c r="D84" s="2">
        <f t="shared" si="46"/>
        <v>16</v>
      </c>
    </row>
    <row r="85">
      <c r="B85" s="1" t="s">
        <v>46</v>
      </c>
      <c r="C85" s="1"/>
      <c r="D85" s="2">
        <f t="shared" si="46"/>
        <v>12</v>
      </c>
    </row>
    <row r="86">
      <c r="B86" s="1" t="s">
        <v>47</v>
      </c>
      <c r="C86" s="1"/>
      <c r="D86" s="2">
        <f t="shared" si="46"/>
        <v>13</v>
      </c>
    </row>
    <row r="87">
      <c r="A87" s="1" t="s">
        <v>43</v>
      </c>
      <c r="B87" s="1" t="s">
        <v>45</v>
      </c>
      <c r="C87" s="1"/>
      <c r="D87" s="2">
        <f t="shared" si="46"/>
        <v>16</v>
      </c>
    </row>
    <row r="88">
      <c r="B88" s="1" t="s">
        <v>46</v>
      </c>
      <c r="C88" s="1"/>
      <c r="D88" s="2">
        <f t="shared" si="46"/>
        <v>12</v>
      </c>
    </row>
    <row r="89">
      <c r="B89" s="1" t="s">
        <v>47</v>
      </c>
      <c r="C89" s="1"/>
      <c r="D89" s="2">
        <f t="shared" si="46"/>
        <v>0</v>
      </c>
    </row>
    <row r="91">
      <c r="A91" s="1" t="s">
        <v>54</v>
      </c>
    </row>
    <row r="92">
      <c r="A92" s="1" t="s">
        <v>34</v>
      </c>
      <c r="B92" s="1" t="s">
        <v>45</v>
      </c>
      <c r="C92" s="1"/>
      <c r="D92" s="2">
        <f t="shared" ref="D92:D103" si="47">COUNTA(D5:O5)</f>
        <v>12</v>
      </c>
      <c r="E92" s="1" t="s">
        <v>55</v>
      </c>
      <c r="F92" s="1">
        <v>13.0</v>
      </c>
    </row>
    <row r="93">
      <c r="B93" s="1" t="s">
        <v>46</v>
      </c>
      <c r="C93" s="1"/>
      <c r="D93" s="2">
        <f t="shared" si="47"/>
        <v>12</v>
      </c>
      <c r="F93" s="1">
        <v>13.0</v>
      </c>
    </row>
    <row r="94">
      <c r="A94" s="1"/>
      <c r="B94" s="1" t="s">
        <v>47</v>
      </c>
      <c r="C94" s="1"/>
      <c r="D94" s="2">
        <f t="shared" si="47"/>
        <v>12</v>
      </c>
      <c r="F94" s="1">
        <v>13.0</v>
      </c>
    </row>
    <row r="95">
      <c r="A95" s="1" t="s">
        <v>40</v>
      </c>
      <c r="B95" s="1" t="s">
        <v>45</v>
      </c>
      <c r="C95" s="1"/>
      <c r="D95" s="2">
        <f t="shared" si="47"/>
        <v>12</v>
      </c>
      <c r="F95" s="1">
        <v>13.0</v>
      </c>
    </row>
    <row r="96">
      <c r="B96" s="1" t="s">
        <v>46</v>
      </c>
      <c r="C96" s="1"/>
      <c r="D96" s="2">
        <f t="shared" si="47"/>
        <v>12</v>
      </c>
      <c r="F96" s="1">
        <v>13.0</v>
      </c>
    </row>
    <row r="97">
      <c r="B97" s="1" t="s">
        <v>47</v>
      </c>
      <c r="C97" s="1"/>
      <c r="D97" s="2">
        <f t="shared" si="47"/>
        <v>12</v>
      </c>
      <c r="F97" s="1">
        <v>13.0</v>
      </c>
    </row>
    <row r="98">
      <c r="A98" s="1" t="s">
        <v>41</v>
      </c>
      <c r="B98" s="1" t="s">
        <v>45</v>
      </c>
      <c r="C98" s="1"/>
      <c r="D98" s="2">
        <f t="shared" si="47"/>
        <v>12</v>
      </c>
      <c r="F98" s="1">
        <v>13.0</v>
      </c>
    </row>
    <row r="99">
      <c r="B99" s="1" t="s">
        <v>46</v>
      </c>
      <c r="C99" s="1"/>
      <c r="D99" s="2">
        <f t="shared" si="47"/>
        <v>12</v>
      </c>
      <c r="F99" s="1">
        <v>13.0</v>
      </c>
    </row>
    <row r="100">
      <c r="B100" s="1" t="s">
        <v>47</v>
      </c>
      <c r="C100" s="1"/>
      <c r="D100" s="2">
        <f t="shared" si="47"/>
        <v>12</v>
      </c>
      <c r="F100" s="1">
        <v>13.0</v>
      </c>
    </row>
    <row r="101">
      <c r="A101" s="1" t="s">
        <v>43</v>
      </c>
      <c r="B101" s="1" t="s">
        <v>45</v>
      </c>
      <c r="C101" s="1"/>
      <c r="D101" s="2">
        <f t="shared" si="47"/>
        <v>12</v>
      </c>
      <c r="F101" s="1">
        <v>13.0</v>
      </c>
    </row>
    <row r="102">
      <c r="B102" s="1" t="s">
        <v>46</v>
      </c>
      <c r="C102" s="1"/>
      <c r="D102" s="2">
        <f t="shared" si="47"/>
        <v>12</v>
      </c>
      <c r="F102" s="1">
        <v>13.0</v>
      </c>
    </row>
    <row r="103">
      <c r="B103" s="1" t="s">
        <v>47</v>
      </c>
      <c r="C103" s="1"/>
      <c r="D103" s="2">
        <f t="shared" si="47"/>
        <v>12</v>
      </c>
      <c r="F103" s="1">
        <v>13.0</v>
      </c>
    </row>
    <row r="105">
      <c r="A105" s="1" t="s">
        <v>56</v>
      </c>
    </row>
    <row r="106">
      <c r="A106" s="1" t="s">
        <v>34</v>
      </c>
      <c r="B106" s="1" t="s">
        <v>45</v>
      </c>
      <c r="C106" s="1"/>
      <c r="D106" s="2">
        <f t="shared" ref="D106:D117" si="48">0.05/2</f>
        <v>0.025</v>
      </c>
      <c r="F106" s="1" t="s">
        <v>57</v>
      </c>
    </row>
    <row r="107">
      <c r="B107" s="1" t="s">
        <v>46</v>
      </c>
      <c r="C107" s="1"/>
      <c r="D107" s="2">
        <f t="shared" si="48"/>
        <v>0.025</v>
      </c>
    </row>
    <row r="108">
      <c r="A108" s="1"/>
      <c r="B108" s="1" t="s">
        <v>47</v>
      </c>
      <c r="C108" s="1"/>
      <c r="D108" s="2">
        <f t="shared" si="48"/>
        <v>0.025</v>
      </c>
    </row>
    <row r="109">
      <c r="A109" s="1" t="s">
        <v>40</v>
      </c>
      <c r="B109" s="1" t="s">
        <v>45</v>
      </c>
      <c r="C109" s="1"/>
      <c r="D109" s="2">
        <f t="shared" si="48"/>
        <v>0.025</v>
      </c>
    </row>
    <row r="110">
      <c r="B110" s="1" t="s">
        <v>46</v>
      </c>
      <c r="C110" s="1"/>
      <c r="D110" s="2">
        <f t="shared" si="48"/>
        <v>0.025</v>
      </c>
    </row>
    <row r="111">
      <c r="B111" s="1" t="s">
        <v>47</v>
      </c>
      <c r="C111" s="1"/>
      <c r="D111" s="2">
        <f t="shared" si="48"/>
        <v>0.025</v>
      </c>
    </row>
    <row r="112">
      <c r="A112" s="1" t="s">
        <v>41</v>
      </c>
      <c r="B112" s="1" t="s">
        <v>45</v>
      </c>
      <c r="C112" s="1"/>
      <c r="D112" s="2">
        <f t="shared" si="48"/>
        <v>0.025</v>
      </c>
    </row>
    <row r="113">
      <c r="B113" s="1" t="s">
        <v>46</v>
      </c>
      <c r="C113" s="1"/>
      <c r="D113" s="2">
        <f t="shared" si="48"/>
        <v>0.025</v>
      </c>
    </row>
    <row r="114">
      <c r="B114" s="1" t="s">
        <v>47</v>
      </c>
      <c r="C114" s="1"/>
      <c r="D114" s="2">
        <f t="shared" si="48"/>
        <v>0.025</v>
      </c>
    </row>
    <row r="115">
      <c r="A115" s="1" t="s">
        <v>43</v>
      </c>
      <c r="B115" s="1" t="s">
        <v>45</v>
      </c>
      <c r="C115" s="1"/>
      <c r="D115" s="2">
        <f t="shared" si="48"/>
        <v>0.025</v>
      </c>
    </row>
    <row r="116">
      <c r="B116" s="1" t="s">
        <v>46</v>
      </c>
      <c r="C116" s="1"/>
      <c r="D116" s="2">
        <f t="shared" si="48"/>
        <v>0.025</v>
      </c>
    </row>
    <row r="117">
      <c r="B117" s="1" t="s">
        <v>47</v>
      </c>
      <c r="C117" s="1"/>
      <c r="D117" s="2">
        <f t="shared" si="48"/>
        <v>0.025</v>
      </c>
    </row>
    <row r="119">
      <c r="A119" s="1" t="s">
        <v>58</v>
      </c>
    </row>
    <row r="120">
      <c r="A120" s="1" t="s">
        <v>34</v>
      </c>
      <c r="B120" s="1" t="s">
        <v>45</v>
      </c>
      <c r="C120" s="1"/>
      <c r="D120" s="1">
        <v>13.0</v>
      </c>
    </row>
    <row r="121">
      <c r="B121" s="1" t="s">
        <v>46</v>
      </c>
      <c r="C121" s="1"/>
      <c r="D121" s="1">
        <v>13.0</v>
      </c>
    </row>
    <row r="122">
      <c r="A122" s="1"/>
      <c r="B122" s="1" t="s">
        <v>47</v>
      </c>
      <c r="C122" s="1"/>
      <c r="D122" s="1">
        <v>13.0</v>
      </c>
    </row>
    <row r="123">
      <c r="A123" s="1" t="s">
        <v>40</v>
      </c>
      <c r="B123" s="1" t="s">
        <v>45</v>
      </c>
      <c r="C123" s="1"/>
      <c r="D123" s="1">
        <v>13.0</v>
      </c>
    </row>
    <row r="124">
      <c r="B124" s="1" t="s">
        <v>46</v>
      </c>
      <c r="C124" s="1"/>
      <c r="D124" s="1">
        <v>13.0</v>
      </c>
    </row>
    <row r="125">
      <c r="B125" s="1" t="s">
        <v>47</v>
      </c>
      <c r="C125" s="1"/>
      <c r="D125" s="1">
        <v>13.0</v>
      </c>
    </row>
    <row r="126">
      <c r="A126" s="1" t="s">
        <v>41</v>
      </c>
      <c r="B126" s="1" t="s">
        <v>45</v>
      </c>
      <c r="C126" s="1"/>
      <c r="D126" s="1">
        <v>13.0</v>
      </c>
    </row>
    <row r="127">
      <c r="B127" s="1" t="s">
        <v>46</v>
      </c>
      <c r="C127" s="1"/>
      <c r="D127" s="1">
        <v>13.0</v>
      </c>
    </row>
    <row r="128">
      <c r="B128" s="1" t="s">
        <v>47</v>
      </c>
      <c r="C128" s="1"/>
      <c r="D128" s="1">
        <v>13.0</v>
      </c>
    </row>
    <row r="129">
      <c r="A129" s="1" t="s">
        <v>43</v>
      </c>
      <c r="B129" s="1" t="s">
        <v>45</v>
      </c>
      <c r="C129" s="1"/>
      <c r="D129" s="1">
        <v>13.0</v>
      </c>
    </row>
    <row r="130">
      <c r="B130" s="1" t="s">
        <v>46</v>
      </c>
      <c r="C130" s="1"/>
      <c r="D130" s="1">
        <v>13.0</v>
      </c>
    </row>
    <row r="131">
      <c r="B131" s="1" t="s">
        <v>47</v>
      </c>
      <c r="C131" s="1"/>
      <c r="D131" s="1">
        <v>13.0</v>
      </c>
    </row>
    <row r="133">
      <c r="A133" s="1" t="s">
        <v>59</v>
      </c>
    </row>
    <row r="134">
      <c r="A134" s="1" t="s">
        <v>34</v>
      </c>
      <c r="B134" s="1" t="s">
        <v>45</v>
      </c>
      <c r="C134" s="1"/>
      <c r="D134" s="2" t="b">
        <f t="shared" ref="D134:D145" si="49">D78&gt;D120</f>
        <v>0</v>
      </c>
    </row>
    <row r="135">
      <c r="B135" s="1" t="s">
        <v>46</v>
      </c>
      <c r="C135" s="1"/>
      <c r="D135" s="2" t="b">
        <f t="shared" si="49"/>
        <v>0</v>
      </c>
    </row>
    <row r="136">
      <c r="A136" s="1"/>
      <c r="B136" s="1" t="s">
        <v>47</v>
      </c>
      <c r="C136" s="1"/>
      <c r="D136" s="2" t="b">
        <f t="shared" si="49"/>
        <v>0</v>
      </c>
    </row>
    <row r="137">
      <c r="A137" s="1" t="s">
        <v>40</v>
      </c>
      <c r="B137" s="1" t="s">
        <v>45</v>
      </c>
      <c r="C137" s="1"/>
      <c r="D137" s="2" t="b">
        <f t="shared" si="49"/>
        <v>0</v>
      </c>
    </row>
    <row r="138">
      <c r="B138" s="1" t="s">
        <v>46</v>
      </c>
      <c r="C138" s="1"/>
      <c r="D138" s="2" t="b">
        <f t="shared" si="49"/>
        <v>0</v>
      </c>
    </row>
    <row r="139">
      <c r="B139" s="1" t="s">
        <v>47</v>
      </c>
      <c r="C139" s="1"/>
      <c r="D139" s="2" t="b">
        <f t="shared" si="49"/>
        <v>0</v>
      </c>
    </row>
    <row r="140">
      <c r="A140" s="1" t="s">
        <v>41</v>
      </c>
      <c r="B140" s="1" t="s">
        <v>45</v>
      </c>
      <c r="C140" s="1"/>
      <c r="D140" s="2" t="b">
        <f t="shared" si="49"/>
        <v>1</v>
      </c>
    </row>
    <row r="141">
      <c r="B141" s="1" t="s">
        <v>46</v>
      </c>
      <c r="C141" s="1"/>
      <c r="D141" s="2" t="b">
        <f t="shared" si="49"/>
        <v>0</v>
      </c>
    </row>
    <row r="142">
      <c r="B142" s="1" t="s">
        <v>47</v>
      </c>
      <c r="C142" s="1"/>
      <c r="D142" s="2" t="b">
        <f t="shared" si="49"/>
        <v>0</v>
      </c>
    </row>
    <row r="143">
      <c r="A143" s="1" t="s">
        <v>43</v>
      </c>
      <c r="B143" s="1" t="s">
        <v>45</v>
      </c>
      <c r="C143" s="1"/>
      <c r="D143" s="2" t="b">
        <f t="shared" si="49"/>
        <v>1</v>
      </c>
    </row>
    <row r="144">
      <c r="B144" s="1" t="s">
        <v>46</v>
      </c>
      <c r="C144" s="1"/>
      <c r="D144" s="2" t="b">
        <f t="shared" si="49"/>
        <v>0</v>
      </c>
    </row>
    <row r="145">
      <c r="B145" s="1" t="s">
        <v>47</v>
      </c>
      <c r="C145" s="1"/>
      <c r="D145" s="2" t="b">
        <f t="shared" si="49"/>
        <v>0</v>
      </c>
    </row>
    <row r="147">
      <c r="A147" s="1" t="s">
        <v>60</v>
      </c>
    </row>
  </sheetData>
  <conditionalFormatting sqref="D5:O1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hyperlinks>
    <hyperlink r:id="rId1" ref="A1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8.38"/>
    <col customWidth="1" min="4" max="4" width="6.13"/>
    <col customWidth="1" min="5" max="15" width="4.5"/>
    <col customWidth="1" min="16" max="16" width="3.63"/>
    <col customWidth="1" min="17" max="18" width="6.0"/>
    <col customWidth="1" min="19" max="19" width="7.63"/>
    <col customWidth="1" min="20" max="20" width="9.38"/>
    <col customWidth="1" min="21" max="21" width="6.0"/>
    <col customWidth="1" min="22" max="22" width="7.63"/>
    <col customWidth="1" min="23" max="23" width="9.38"/>
    <col customWidth="1" min="24" max="24" width="18.0"/>
  </cols>
  <sheetData>
    <row r="1">
      <c r="B1" s="1" t="s">
        <v>5</v>
      </c>
      <c r="C1" s="1" t="s">
        <v>5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>
      <c r="B3" s="1" t="s">
        <v>29</v>
      </c>
      <c r="C3" s="1" t="s">
        <v>29</v>
      </c>
      <c r="D3" s="1" t="s">
        <v>30</v>
      </c>
      <c r="E3" s="1" t="s">
        <v>30</v>
      </c>
      <c r="F3" s="1" t="s">
        <v>31</v>
      </c>
      <c r="G3" s="1" t="s">
        <v>30</v>
      </c>
      <c r="H3" s="1" t="s">
        <v>31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31</v>
      </c>
    </row>
    <row r="4">
      <c r="B4" s="1" t="s">
        <v>32</v>
      </c>
      <c r="C4" s="1" t="s">
        <v>32</v>
      </c>
      <c r="D4" s="1" t="s">
        <v>33</v>
      </c>
      <c r="E4" s="1">
        <v>17.0</v>
      </c>
      <c r="F4" s="1">
        <v>2.0</v>
      </c>
      <c r="G4" s="1">
        <v>15.0</v>
      </c>
      <c r="H4" s="1">
        <v>3.0</v>
      </c>
      <c r="I4" s="1">
        <v>15.0</v>
      </c>
      <c r="J4" s="1">
        <v>3.0</v>
      </c>
      <c r="K4" s="1">
        <v>20.0</v>
      </c>
      <c r="L4" s="1">
        <v>15.0</v>
      </c>
      <c r="M4" s="1">
        <v>11.0</v>
      </c>
      <c r="N4" s="1">
        <v>7.0</v>
      </c>
      <c r="O4" s="1">
        <v>15.0</v>
      </c>
      <c r="P4" s="2">
        <f t="shared" ref="P4:P16" si="1">counta(D4:O4)</f>
        <v>12</v>
      </c>
      <c r="Q4" s="3">
        <f t="shared" ref="Q4:Q16" si="2">AVERAGE(D4:O4)</f>
        <v>11.18181818</v>
      </c>
      <c r="R4" s="2">
        <f t="shared" ref="R4:R16" si="3">MEDIAN(D4:O4)</f>
        <v>15</v>
      </c>
      <c r="S4" s="4">
        <f t="shared" ref="S4:S16" si="4">STDEV(D4:O4)</f>
        <v>6.368958813</v>
      </c>
    </row>
    <row r="5">
      <c r="A5" s="1" t="s">
        <v>34</v>
      </c>
      <c r="B5" s="1" t="s">
        <v>35</v>
      </c>
      <c r="C5" s="2" t="str">
        <f t="shared" ref="C5:C16" si="5">left(A5,3)&amp;"_"&amp;B5</f>
        <v>事例①_条件1</v>
      </c>
      <c r="D5" s="1">
        <v>3.0</v>
      </c>
      <c r="E5" s="1">
        <v>3.0</v>
      </c>
      <c r="F5" s="1">
        <v>3.0</v>
      </c>
      <c r="G5" s="1">
        <v>3.0</v>
      </c>
      <c r="H5" s="1">
        <v>3.0</v>
      </c>
      <c r="I5" s="1">
        <v>3.0</v>
      </c>
      <c r="J5" s="1">
        <v>3.0</v>
      </c>
      <c r="K5" s="1">
        <v>2.0</v>
      </c>
      <c r="L5" s="1">
        <v>3.0</v>
      </c>
      <c r="M5" s="1">
        <v>3.0</v>
      </c>
      <c r="N5" s="1">
        <v>3.0</v>
      </c>
      <c r="O5" s="1">
        <v>3.0</v>
      </c>
      <c r="P5" s="2">
        <f t="shared" si="1"/>
        <v>12</v>
      </c>
      <c r="Q5" s="3">
        <f t="shared" si="2"/>
        <v>2.916666667</v>
      </c>
      <c r="R5" s="2">
        <f t="shared" si="3"/>
        <v>3</v>
      </c>
      <c r="S5" s="4">
        <f t="shared" si="4"/>
        <v>0.2886751346</v>
      </c>
      <c r="U5" s="2">
        <f t="shared" ref="U5:U16" si="6">sum(D5:O5)</f>
        <v>35</v>
      </c>
      <c r="V5" s="5">
        <f t="shared" ref="V5:V16" si="7">U5/P5</f>
        <v>2.916666667</v>
      </c>
      <c r="W5" s="2">
        <f>12*P5/(3*(3+1))*(Q5^2+Q6^2+Q7)-3*P5*(3+1)</f>
        <v>13.41666667</v>
      </c>
      <c r="X5" s="1" t="s">
        <v>36</v>
      </c>
      <c r="Y5" s="1" t="s">
        <v>37</v>
      </c>
    </row>
    <row r="6">
      <c r="A6" s="1" t="s">
        <v>34</v>
      </c>
      <c r="B6" s="1" t="s">
        <v>38</v>
      </c>
      <c r="C6" s="2" t="str">
        <f t="shared" si="5"/>
        <v>事例①_条件2</v>
      </c>
      <c r="D6" s="1">
        <v>2.0</v>
      </c>
      <c r="E6" s="1">
        <v>2.0</v>
      </c>
      <c r="F6" s="1">
        <v>1.0</v>
      </c>
      <c r="G6" s="1">
        <v>2.0</v>
      </c>
      <c r="H6" s="1">
        <v>2.0</v>
      </c>
      <c r="I6" s="1">
        <v>2.0</v>
      </c>
      <c r="J6" s="1">
        <v>2.0</v>
      </c>
      <c r="K6" s="1">
        <v>3.0</v>
      </c>
      <c r="L6" s="1">
        <v>2.0</v>
      </c>
      <c r="M6" s="1">
        <v>2.0</v>
      </c>
      <c r="N6" s="1">
        <v>1.0</v>
      </c>
      <c r="O6" s="1">
        <v>1.0</v>
      </c>
      <c r="P6" s="2">
        <f t="shared" si="1"/>
        <v>12</v>
      </c>
      <c r="Q6" s="3">
        <f t="shared" si="2"/>
        <v>1.833333333</v>
      </c>
      <c r="R6" s="2">
        <f t="shared" si="3"/>
        <v>2</v>
      </c>
      <c r="S6" s="4">
        <f t="shared" si="4"/>
        <v>0.5773502692</v>
      </c>
      <c r="U6" s="2">
        <f t="shared" si="6"/>
        <v>22</v>
      </c>
      <c r="V6" s="5">
        <f t="shared" si="7"/>
        <v>1.833333333</v>
      </c>
    </row>
    <row r="7">
      <c r="A7" s="1" t="s">
        <v>34</v>
      </c>
      <c r="B7" s="1" t="s">
        <v>39</v>
      </c>
      <c r="C7" s="2" t="str">
        <f t="shared" si="5"/>
        <v>事例①_条件3</v>
      </c>
      <c r="D7" s="1">
        <v>1.0</v>
      </c>
      <c r="E7" s="1">
        <v>1.0</v>
      </c>
      <c r="F7" s="1">
        <v>2.0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2.0</v>
      </c>
      <c r="O7" s="1">
        <v>2.0</v>
      </c>
      <c r="P7" s="2">
        <f t="shared" si="1"/>
        <v>12</v>
      </c>
      <c r="Q7" s="3">
        <f t="shared" si="2"/>
        <v>1.25</v>
      </c>
      <c r="R7" s="2">
        <f t="shared" si="3"/>
        <v>1</v>
      </c>
      <c r="S7" s="4">
        <f t="shared" si="4"/>
        <v>0.4522670169</v>
      </c>
      <c r="U7" s="2">
        <f t="shared" si="6"/>
        <v>15</v>
      </c>
      <c r="V7" s="5">
        <f t="shared" si="7"/>
        <v>1.25</v>
      </c>
    </row>
    <row r="8">
      <c r="A8" s="1" t="s">
        <v>40</v>
      </c>
      <c r="B8" s="1" t="s">
        <v>35</v>
      </c>
      <c r="C8" s="2" t="str">
        <f t="shared" si="5"/>
        <v>事例②_条件1</v>
      </c>
      <c r="D8" s="1">
        <v>3.0</v>
      </c>
      <c r="E8" s="1">
        <v>3.0</v>
      </c>
      <c r="F8" s="1">
        <v>3.0</v>
      </c>
      <c r="G8" s="1">
        <v>3.0</v>
      </c>
      <c r="H8" s="1">
        <v>3.0</v>
      </c>
      <c r="I8" s="1">
        <v>3.0</v>
      </c>
      <c r="J8" s="1">
        <v>3.0</v>
      </c>
      <c r="K8" s="1">
        <v>2.0</v>
      </c>
      <c r="L8" s="1">
        <v>3.0</v>
      </c>
      <c r="M8" s="1">
        <v>2.0</v>
      </c>
      <c r="N8" s="1">
        <v>1.0</v>
      </c>
      <c r="O8" s="1">
        <v>3.0</v>
      </c>
      <c r="P8" s="2">
        <f t="shared" si="1"/>
        <v>12</v>
      </c>
      <c r="Q8" s="3">
        <f t="shared" si="2"/>
        <v>2.666666667</v>
      </c>
      <c r="R8" s="2">
        <f t="shared" si="3"/>
        <v>3</v>
      </c>
      <c r="S8" s="4">
        <f t="shared" si="4"/>
        <v>0.6513389473</v>
      </c>
      <c r="U8" s="2">
        <f t="shared" si="6"/>
        <v>32</v>
      </c>
      <c r="V8" s="5">
        <f t="shared" si="7"/>
        <v>2.666666667</v>
      </c>
      <c r="W8" s="2">
        <f>12*P8/(3*(3+1))*(Q8^2+Q9^2+Q10)-3*P8*(3+1)</f>
        <v>8.416666667</v>
      </c>
      <c r="X8" s="1" t="s">
        <v>36</v>
      </c>
      <c r="Y8" s="1" t="s">
        <v>37</v>
      </c>
    </row>
    <row r="9">
      <c r="A9" s="1" t="s">
        <v>40</v>
      </c>
      <c r="B9" s="1" t="s">
        <v>38</v>
      </c>
      <c r="C9" s="2" t="str">
        <f t="shared" si="5"/>
        <v>事例②_条件2</v>
      </c>
      <c r="D9" s="1">
        <v>2.0</v>
      </c>
      <c r="E9" s="1">
        <v>2.0</v>
      </c>
      <c r="F9" s="1">
        <v>2.0</v>
      </c>
      <c r="G9" s="1">
        <v>2.0</v>
      </c>
      <c r="H9" s="1">
        <v>2.0</v>
      </c>
      <c r="I9" s="1">
        <v>2.0</v>
      </c>
      <c r="J9" s="1">
        <v>2.0</v>
      </c>
      <c r="K9" s="1">
        <v>3.0</v>
      </c>
      <c r="L9" s="1">
        <v>2.0</v>
      </c>
      <c r="M9" s="1">
        <v>3.0</v>
      </c>
      <c r="N9" s="1">
        <v>2.0</v>
      </c>
      <c r="O9" s="1">
        <v>1.0</v>
      </c>
      <c r="P9" s="2">
        <f t="shared" si="1"/>
        <v>12</v>
      </c>
      <c r="Q9" s="3">
        <f t="shared" si="2"/>
        <v>2.083333333</v>
      </c>
      <c r="R9" s="2">
        <f t="shared" si="3"/>
        <v>2</v>
      </c>
      <c r="S9" s="4">
        <f t="shared" si="4"/>
        <v>0.5149286505</v>
      </c>
      <c r="U9" s="2">
        <f t="shared" si="6"/>
        <v>25</v>
      </c>
      <c r="V9" s="5">
        <f t="shared" si="7"/>
        <v>2.083333333</v>
      </c>
    </row>
    <row r="10">
      <c r="A10" s="1" t="s">
        <v>40</v>
      </c>
      <c r="B10" s="1" t="s">
        <v>39</v>
      </c>
      <c r="C10" s="2" t="str">
        <f t="shared" si="5"/>
        <v>事例②_条件3</v>
      </c>
      <c r="D10" s="1">
        <v>1.0</v>
      </c>
      <c r="E10" s="1">
        <v>1.0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3.0</v>
      </c>
      <c r="O10" s="1">
        <v>2.0</v>
      </c>
      <c r="P10" s="2">
        <f t="shared" si="1"/>
        <v>12</v>
      </c>
      <c r="Q10" s="3">
        <f t="shared" si="2"/>
        <v>1.25</v>
      </c>
      <c r="R10" s="2">
        <f t="shared" si="3"/>
        <v>1</v>
      </c>
      <c r="S10" s="4">
        <f t="shared" si="4"/>
        <v>0.6215815605</v>
      </c>
      <c r="U10" s="2">
        <f t="shared" si="6"/>
        <v>15</v>
      </c>
      <c r="V10" s="5">
        <f t="shared" si="7"/>
        <v>1.25</v>
      </c>
    </row>
    <row r="11">
      <c r="A11" s="1" t="s">
        <v>41</v>
      </c>
      <c r="B11" s="1" t="s">
        <v>35</v>
      </c>
      <c r="C11" s="2" t="str">
        <f t="shared" si="5"/>
        <v>事例③_条件1</v>
      </c>
      <c r="D11" s="1">
        <v>3.0</v>
      </c>
      <c r="E11" s="1">
        <v>3.0</v>
      </c>
      <c r="F11" s="1">
        <v>3.0</v>
      </c>
      <c r="G11" s="1">
        <v>3.0</v>
      </c>
      <c r="H11" s="1">
        <v>3.0</v>
      </c>
      <c r="I11" s="1">
        <v>3.0</v>
      </c>
      <c r="J11" s="1">
        <v>3.0</v>
      </c>
      <c r="K11" s="1">
        <v>1.0</v>
      </c>
      <c r="L11" s="1">
        <v>3.0</v>
      </c>
      <c r="M11" s="1">
        <v>2.0</v>
      </c>
      <c r="N11" s="1">
        <v>1.0</v>
      </c>
      <c r="O11" s="1">
        <v>3.0</v>
      </c>
      <c r="P11" s="2">
        <f t="shared" si="1"/>
        <v>12</v>
      </c>
      <c r="Q11" s="3">
        <f t="shared" si="2"/>
        <v>2.583333333</v>
      </c>
      <c r="R11" s="2">
        <f t="shared" si="3"/>
        <v>3</v>
      </c>
      <c r="S11" s="4">
        <f t="shared" si="4"/>
        <v>0.7929614611</v>
      </c>
      <c r="U11" s="2">
        <f t="shared" si="6"/>
        <v>31</v>
      </c>
      <c r="V11" s="5">
        <f t="shared" si="7"/>
        <v>2.583333333</v>
      </c>
      <c r="W11" s="2">
        <f>12*P11/(3*(3+1))*(Q11^2+Q12^2+Q13)-3*P11*(3+1)</f>
        <v>4.166666667</v>
      </c>
      <c r="X11" s="1" t="s">
        <v>42</v>
      </c>
      <c r="Y11" s="1" t="s">
        <v>37</v>
      </c>
    </row>
    <row r="12">
      <c r="A12" s="1" t="s">
        <v>41</v>
      </c>
      <c r="B12" s="1" t="s">
        <v>38</v>
      </c>
      <c r="C12" s="2" t="str">
        <f t="shared" si="5"/>
        <v>事例③_条件2</v>
      </c>
      <c r="D12" s="1">
        <v>2.0</v>
      </c>
      <c r="E12" s="1">
        <v>2.0</v>
      </c>
      <c r="F12" s="1">
        <v>1.0</v>
      </c>
      <c r="G12" s="1">
        <v>2.0</v>
      </c>
      <c r="H12" s="1">
        <v>2.0</v>
      </c>
      <c r="I12" s="1">
        <v>2.0</v>
      </c>
      <c r="J12" s="1">
        <v>2.0</v>
      </c>
      <c r="K12" s="1">
        <v>3.0</v>
      </c>
      <c r="L12" s="1">
        <v>2.0</v>
      </c>
      <c r="M12" s="1">
        <v>3.0</v>
      </c>
      <c r="N12" s="1">
        <v>2.0</v>
      </c>
      <c r="O12" s="1">
        <v>2.0</v>
      </c>
      <c r="P12" s="2">
        <f t="shared" si="1"/>
        <v>12</v>
      </c>
      <c r="Q12" s="3">
        <f t="shared" si="2"/>
        <v>2.083333333</v>
      </c>
      <c r="R12" s="2">
        <f t="shared" si="3"/>
        <v>2</v>
      </c>
      <c r="S12" s="4">
        <f t="shared" si="4"/>
        <v>0.5149286505</v>
      </c>
      <c r="U12" s="2">
        <f t="shared" si="6"/>
        <v>25</v>
      </c>
      <c r="V12" s="5">
        <f t="shared" si="7"/>
        <v>2.083333333</v>
      </c>
    </row>
    <row r="13">
      <c r="A13" s="1" t="s">
        <v>41</v>
      </c>
      <c r="B13" s="1" t="s">
        <v>39</v>
      </c>
      <c r="C13" s="2" t="str">
        <f t="shared" si="5"/>
        <v>事例③_条件3</v>
      </c>
      <c r="D13" s="1">
        <v>1.0</v>
      </c>
      <c r="E13" s="1">
        <v>1.0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2.0</v>
      </c>
      <c r="L13" s="1">
        <v>1.0</v>
      </c>
      <c r="M13" s="1">
        <v>1.0</v>
      </c>
      <c r="N13" s="1">
        <v>3.0</v>
      </c>
      <c r="O13" s="1">
        <v>1.0</v>
      </c>
      <c r="P13" s="2">
        <f t="shared" si="1"/>
        <v>12</v>
      </c>
      <c r="Q13" s="3">
        <f t="shared" si="2"/>
        <v>1.333333333</v>
      </c>
      <c r="R13" s="2">
        <f t="shared" si="3"/>
        <v>1</v>
      </c>
      <c r="S13" s="4">
        <f t="shared" si="4"/>
        <v>0.6513389473</v>
      </c>
      <c r="U13" s="2">
        <f t="shared" si="6"/>
        <v>16</v>
      </c>
      <c r="V13" s="5">
        <f t="shared" si="7"/>
        <v>1.333333333</v>
      </c>
    </row>
    <row r="14">
      <c r="A14" s="1" t="s">
        <v>43</v>
      </c>
      <c r="B14" s="1" t="s">
        <v>35</v>
      </c>
      <c r="C14" s="2" t="str">
        <f t="shared" si="5"/>
        <v>事例④_条件1</v>
      </c>
      <c r="D14" s="1">
        <v>3.0</v>
      </c>
      <c r="E14" s="1">
        <v>3.0</v>
      </c>
      <c r="F14" s="1">
        <v>3.0</v>
      </c>
      <c r="G14" s="1">
        <v>3.0</v>
      </c>
      <c r="H14" s="1">
        <v>3.0</v>
      </c>
      <c r="I14" s="1">
        <v>3.0</v>
      </c>
      <c r="J14" s="1">
        <v>3.0</v>
      </c>
      <c r="K14" s="1">
        <v>2.0</v>
      </c>
      <c r="L14" s="1">
        <v>3.0</v>
      </c>
      <c r="M14" s="1">
        <v>1.0</v>
      </c>
      <c r="N14" s="1">
        <v>1.0</v>
      </c>
      <c r="O14" s="1">
        <v>3.0</v>
      </c>
      <c r="P14" s="2">
        <f t="shared" si="1"/>
        <v>12</v>
      </c>
      <c r="Q14" s="3">
        <f t="shared" si="2"/>
        <v>2.583333333</v>
      </c>
      <c r="R14" s="2">
        <f t="shared" si="3"/>
        <v>3</v>
      </c>
      <c r="S14" s="4">
        <f t="shared" si="4"/>
        <v>0.7929614611</v>
      </c>
      <c r="U14" s="2">
        <f t="shared" si="6"/>
        <v>31</v>
      </c>
      <c r="V14" s="5">
        <f t="shared" si="7"/>
        <v>2.583333333</v>
      </c>
      <c r="W14" s="2">
        <f>12*P14/(3*(3+1))*(Q14^2+Q15^2+Q16)-3*P14*(3+1)</f>
        <v>4.166666667</v>
      </c>
      <c r="X14" s="1" t="s">
        <v>42</v>
      </c>
      <c r="Y14" s="1" t="s">
        <v>37</v>
      </c>
    </row>
    <row r="15">
      <c r="A15" s="1" t="s">
        <v>43</v>
      </c>
      <c r="B15" s="1" t="s">
        <v>38</v>
      </c>
      <c r="C15" s="2" t="str">
        <f t="shared" si="5"/>
        <v>事例④_条件2</v>
      </c>
      <c r="D15" s="1">
        <v>2.0</v>
      </c>
      <c r="E15" s="1">
        <v>2.0</v>
      </c>
      <c r="F15" s="1">
        <v>1.0</v>
      </c>
      <c r="G15" s="1">
        <v>2.0</v>
      </c>
      <c r="H15" s="1">
        <v>2.0</v>
      </c>
      <c r="I15" s="1">
        <v>2.0</v>
      </c>
      <c r="J15" s="1">
        <v>2.0</v>
      </c>
      <c r="K15" s="1">
        <v>3.0</v>
      </c>
      <c r="L15" s="1">
        <v>2.0</v>
      </c>
      <c r="M15" s="1">
        <v>3.0</v>
      </c>
      <c r="N15" s="1">
        <v>2.0</v>
      </c>
      <c r="O15" s="1">
        <v>2.0</v>
      </c>
      <c r="P15" s="2">
        <f t="shared" si="1"/>
        <v>12</v>
      </c>
      <c r="Q15" s="3">
        <f t="shared" si="2"/>
        <v>2.083333333</v>
      </c>
      <c r="R15" s="2">
        <f t="shared" si="3"/>
        <v>2</v>
      </c>
      <c r="S15" s="4">
        <f t="shared" si="4"/>
        <v>0.5149286505</v>
      </c>
      <c r="U15" s="2">
        <f t="shared" si="6"/>
        <v>25</v>
      </c>
      <c r="V15" s="5">
        <f t="shared" si="7"/>
        <v>2.083333333</v>
      </c>
    </row>
    <row r="16">
      <c r="A16" s="1" t="s">
        <v>43</v>
      </c>
      <c r="B16" s="1" t="s">
        <v>39</v>
      </c>
      <c r="C16" s="2" t="str">
        <f t="shared" si="5"/>
        <v>事例④_条件3</v>
      </c>
      <c r="D16" s="1">
        <v>1.0</v>
      </c>
      <c r="E16" s="1">
        <v>1.0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2.0</v>
      </c>
      <c r="N16" s="1">
        <v>3.0</v>
      </c>
      <c r="O16" s="1">
        <v>1.0</v>
      </c>
      <c r="P16" s="2">
        <f t="shared" si="1"/>
        <v>12</v>
      </c>
      <c r="Q16" s="3">
        <f t="shared" si="2"/>
        <v>1.333333333</v>
      </c>
      <c r="R16" s="2">
        <f t="shared" si="3"/>
        <v>1</v>
      </c>
      <c r="S16" s="4">
        <f t="shared" si="4"/>
        <v>0.6513389473</v>
      </c>
      <c r="U16" s="2">
        <f t="shared" si="6"/>
        <v>16</v>
      </c>
      <c r="V16" s="5">
        <f t="shared" si="7"/>
        <v>1.333333333</v>
      </c>
    </row>
    <row r="19">
      <c r="A19" s="6" t="s">
        <v>44</v>
      </c>
    </row>
    <row r="21">
      <c r="A21" s="1" t="s">
        <v>34</v>
      </c>
      <c r="B21" s="1" t="s">
        <v>45</v>
      </c>
      <c r="C21" s="1"/>
      <c r="D21" s="2">
        <f t="shared" ref="D21:O21" si="8">D5-D6</f>
        <v>1</v>
      </c>
      <c r="E21" s="2">
        <f t="shared" si="8"/>
        <v>1</v>
      </c>
      <c r="F21" s="2">
        <f t="shared" si="8"/>
        <v>2</v>
      </c>
      <c r="G21" s="2">
        <f t="shared" si="8"/>
        <v>1</v>
      </c>
      <c r="H21" s="2">
        <f t="shared" si="8"/>
        <v>1</v>
      </c>
      <c r="I21" s="2">
        <f t="shared" si="8"/>
        <v>1</v>
      </c>
      <c r="J21" s="2">
        <f t="shared" si="8"/>
        <v>1</v>
      </c>
      <c r="K21" s="2">
        <f t="shared" si="8"/>
        <v>-1</v>
      </c>
      <c r="L21" s="2">
        <f t="shared" si="8"/>
        <v>1</v>
      </c>
      <c r="M21" s="2">
        <f t="shared" si="8"/>
        <v>1</v>
      </c>
      <c r="N21" s="2">
        <f t="shared" si="8"/>
        <v>2</v>
      </c>
      <c r="O21" s="2">
        <f t="shared" si="8"/>
        <v>2</v>
      </c>
    </row>
    <row r="22">
      <c r="B22" s="1" t="s">
        <v>46</v>
      </c>
      <c r="C22" s="1"/>
      <c r="D22" s="2">
        <f t="shared" ref="D22:O22" si="9">D6-D7</f>
        <v>1</v>
      </c>
      <c r="E22" s="2">
        <f t="shared" si="9"/>
        <v>1</v>
      </c>
      <c r="F22" s="2">
        <f t="shared" si="9"/>
        <v>-1</v>
      </c>
      <c r="G22" s="2">
        <f t="shared" si="9"/>
        <v>1</v>
      </c>
      <c r="H22" s="2">
        <f t="shared" si="9"/>
        <v>1</v>
      </c>
      <c r="I22" s="2">
        <f t="shared" si="9"/>
        <v>1</v>
      </c>
      <c r="J22" s="2">
        <f t="shared" si="9"/>
        <v>1</v>
      </c>
      <c r="K22" s="2">
        <f t="shared" si="9"/>
        <v>2</v>
      </c>
      <c r="L22" s="2">
        <f t="shared" si="9"/>
        <v>1</v>
      </c>
      <c r="M22" s="2">
        <f t="shared" si="9"/>
        <v>1</v>
      </c>
      <c r="N22" s="2">
        <f t="shared" si="9"/>
        <v>-1</v>
      </c>
      <c r="O22" s="2">
        <f t="shared" si="9"/>
        <v>-1</v>
      </c>
    </row>
    <row r="23">
      <c r="A23" s="1"/>
      <c r="B23" s="1" t="s">
        <v>47</v>
      </c>
      <c r="C23" s="1"/>
      <c r="D23" s="2">
        <f t="shared" ref="D23:O23" si="10">D7-D8</f>
        <v>-2</v>
      </c>
      <c r="E23" s="2">
        <f t="shared" si="10"/>
        <v>-2</v>
      </c>
      <c r="F23" s="2">
        <f t="shared" si="10"/>
        <v>-1</v>
      </c>
      <c r="G23" s="2">
        <f t="shared" si="10"/>
        <v>-2</v>
      </c>
      <c r="H23" s="2">
        <f t="shared" si="10"/>
        <v>-2</v>
      </c>
      <c r="I23" s="2">
        <f t="shared" si="10"/>
        <v>-2</v>
      </c>
      <c r="J23" s="2">
        <f t="shared" si="10"/>
        <v>-2</v>
      </c>
      <c r="K23" s="2">
        <f t="shared" si="10"/>
        <v>-1</v>
      </c>
      <c r="L23" s="2">
        <f t="shared" si="10"/>
        <v>-2</v>
      </c>
      <c r="M23" s="2">
        <f t="shared" si="10"/>
        <v>-1</v>
      </c>
      <c r="N23" s="2">
        <f t="shared" si="10"/>
        <v>1</v>
      </c>
      <c r="O23" s="2">
        <f t="shared" si="10"/>
        <v>-1</v>
      </c>
    </row>
    <row r="24">
      <c r="A24" s="1" t="s">
        <v>40</v>
      </c>
      <c r="B24" s="1" t="s">
        <v>45</v>
      </c>
      <c r="C24" s="1"/>
      <c r="D24" s="2">
        <f t="shared" ref="D24:O24" si="11">D8-D9</f>
        <v>1</v>
      </c>
      <c r="E24" s="2">
        <f t="shared" si="11"/>
        <v>1</v>
      </c>
      <c r="F24" s="2">
        <f t="shared" si="11"/>
        <v>1</v>
      </c>
      <c r="G24" s="2">
        <f t="shared" si="11"/>
        <v>1</v>
      </c>
      <c r="H24" s="2">
        <f t="shared" si="11"/>
        <v>1</v>
      </c>
      <c r="I24" s="2">
        <f t="shared" si="11"/>
        <v>1</v>
      </c>
      <c r="J24" s="2">
        <f t="shared" si="11"/>
        <v>1</v>
      </c>
      <c r="K24" s="2">
        <f t="shared" si="11"/>
        <v>-1</v>
      </c>
      <c r="L24" s="2">
        <f t="shared" si="11"/>
        <v>1</v>
      </c>
      <c r="M24" s="2">
        <f t="shared" si="11"/>
        <v>-1</v>
      </c>
      <c r="N24" s="2">
        <f t="shared" si="11"/>
        <v>-1</v>
      </c>
      <c r="O24" s="2">
        <f t="shared" si="11"/>
        <v>2</v>
      </c>
    </row>
    <row r="25">
      <c r="B25" s="1" t="s">
        <v>46</v>
      </c>
      <c r="C25" s="1"/>
      <c r="D25" s="2">
        <f t="shared" ref="D25:O25" si="12">D9-D10</f>
        <v>1</v>
      </c>
      <c r="E25" s="2">
        <f t="shared" si="12"/>
        <v>1</v>
      </c>
      <c r="F25" s="2">
        <f t="shared" si="12"/>
        <v>1</v>
      </c>
      <c r="G25" s="2">
        <f t="shared" si="12"/>
        <v>1</v>
      </c>
      <c r="H25" s="2">
        <f t="shared" si="12"/>
        <v>1</v>
      </c>
      <c r="I25" s="2">
        <f t="shared" si="12"/>
        <v>1</v>
      </c>
      <c r="J25" s="2">
        <f t="shared" si="12"/>
        <v>1</v>
      </c>
      <c r="K25" s="2">
        <f t="shared" si="12"/>
        <v>2</v>
      </c>
      <c r="L25" s="2">
        <f t="shared" si="12"/>
        <v>1</v>
      </c>
      <c r="M25" s="2">
        <f t="shared" si="12"/>
        <v>2</v>
      </c>
      <c r="N25" s="2">
        <f t="shared" si="12"/>
        <v>-1</v>
      </c>
      <c r="O25" s="2">
        <f t="shared" si="12"/>
        <v>-1</v>
      </c>
    </row>
    <row r="26">
      <c r="B26" s="1" t="s">
        <v>47</v>
      </c>
      <c r="C26" s="1"/>
      <c r="D26" s="2">
        <f t="shared" ref="D26:O26" si="13">D10-D11</f>
        <v>-2</v>
      </c>
      <c r="E26" s="2">
        <f t="shared" si="13"/>
        <v>-2</v>
      </c>
      <c r="F26" s="2">
        <f t="shared" si="13"/>
        <v>-2</v>
      </c>
      <c r="G26" s="2">
        <f t="shared" si="13"/>
        <v>-2</v>
      </c>
      <c r="H26" s="2">
        <f t="shared" si="13"/>
        <v>-2</v>
      </c>
      <c r="I26" s="2">
        <f t="shared" si="13"/>
        <v>-2</v>
      </c>
      <c r="J26" s="2">
        <f t="shared" si="13"/>
        <v>-2</v>
      </c>
      <c r="K26" s="2">
        <f t="shared" si="13"/>
        <v>0</v>
      </c>
      <c r="L26" s="2">
        <f t="shared" si="13"/>
        <v>-2</v>
      </c>
      <c r="M26" s="2">
        <f t="shared" si="13"/>
        <v>-1</v>
      </c>
      <c r="N26" s="2">
        <f t="shared" si="13"/>
        <v>2</v>
      </c>
      <c r="O26" s="2">
        <f t="shared" si="13"/>
        <v>-1</v>
      </c>
    </row>
    <row r="27">
      <c r="A27" s="1" t="s">
        <v>41</v>
      </c>
      <c r="B27" s="1" t="s">
        <v>45</v>
      </c>
      <c r="C27" s="1"/>
      <c r="D27" s="2">
        <f t="shared" ref="D27:O27" si="14">D11-D12</f>
        <v>1</v>
      </c>
      <c r="E27" s="2">
        <f t="shared" si="14"/>
        <v>1</v>
      </c>
      <c r="F27" s="2">
        <f t="shared" si="14"/>
        <v>2</v>
      </c>
      <c r="G27" s="2">
        <f t="shared" si="14"/>
        <v>1</v>
      </c>
      <c r="H27" s="2">
        <f t="shared" si="14"/>
        <v>1</v>
      </c>
      <c r="I27" s="2">
        <f t="shared" si="14"/>
        <v>1</v>
      </c>
      <c r="J27" s="2">
        <f t="shared" si="14"/>
        <v>1</v>
      </c>
      <c r="K27" s="2">
        <f t="shared" si="14"/>
        <v>-2</v>
      </c>
      <c r="L27" s="2">
        <f t="shared" si="14"/>
        <v>1</v>
      </c>
      <c r="M27" s="2">
        <f t="shared" si="14"/>
        <v>-1</v>
      </c>
      <c r="N27" s="2">
        <f t="shared" si="14"/>
        <v>-1</v>
      </c>
      <c r="O27" s="2">
        <f t="shared" si="14"/>
        <v>1</v>
      </c>
    </row>
    <row r="28">
      <c r="B28" s="1" t="s">
        <v>46</v>
      </c>
      <c r="C28" s="1"/>
      <c r="D28" s="2">
        <f t="shared" ref="D28:O28" si="15">D12-D13</f>
        <v>1</v>
      </c>
      <c r="E28" s="2">
        <f t="shared" si="15"/>
        <v>1</v>
      </c>
      <c r="F28" s="2">
        <f t="shared" si="15"/>
        <v>-1</v>
      </c>
      <c r="G28" s="2">
        <f t="shared" si="15"/>
        <v>1</v>
      </c>
      <c r="H28" s="2">
        <f t="shared" si="15"/>
        <v>1</v>
      </c>
      <c r="I28" s="2">
        <f t="shared" si="15"/>
        <v>1</v>
      </c>
      <c r="J28" s="2">
        <f t="shared" si="15"/>
        <v>1</v>
      </c>
      <c r="K28" s="2">
        <f t="shared" si="15"/>
        <v>1</v>
      </c>
      <c r="L28" s="2">
        <f t="shared" si="15"/>
        <v>1</v>
      </c>
      <c r="M28" s="2">
        <f t="shared" si="15"/>
        <v>2</v>
      </c>
      <c r="N28" s="2">
        <f t="shared" si="15"/>
        <v>-1</v>
      </c>
      <c r="O28" s="2">
        <f t="shared" si="15"/>
        <v>1</v>
      </c>
    </row>
    <row r="29">
      <c r="B29" s="1" t="s">
        <v>47</v>
      </c>
      <c r="C29" s="1"/>
      <c r="D29" s="2">
        <f t="shared" ref="D29:O29" si="16">D13-D14</f>
        <v>-2</v>
      </c>
      <c r="E29" s="2">
        <f t="shared" si="16"/>
        <v>-2</v>
      </c>
      <c r="F29" s="2">
        <f t="shared" si="16"/>
        <v>-1</v>
      </c>
      <c r="G29" s="2">
        <f t="shared" si="16"/>
        <v>-2</v>
      </c>
      <c r="H29" s="2">
        <f t="shared" si="16"/>
        <v>-2</v>
      </c>
      <c r="I29" s="2">
        <f t="shared" si="16"/>
        <v>-2</v>
      </c>
      <c r="J29" s="2">
        <f t="shared" si="16"/>
        <v>-2</v>
      </c>
      <c r="K29" s="2">
        <f t="shared" si="16"/>
        <v>0</v>
      </c>
      <c r="L29" s="2">
        <f t="shared" si="16"/>
        <v>-2</v>
      </c>
      <c r="M29" s="2">
        <f t="shared" si="16"/>
        <v>0</v>
      </c>
      <c r="N29" s="2">
        <f t="shared" si="16"/>
        <v>2</v>
      </c>
      <c r="O29" s="2">
        <f t="shared" si="16"/>
        <v>-2</v>
      </c>
    </row>
    <row r="30">
      <c r="A30" s="1" t="s">
        <v>43</v>
      </c>
      <c r="B30" s="1" t="s">
        <v>45</v>
      </c>
      <c r="C30" s="1"/>
      <c r="D30" s="2">
        <f t="shared" ref="D30:O30" si="17">D14-D15</f>
        <v>1</v>
      </c>
      <c r="E30" s="2">
        <f t="shared" si="17"/>
        <v>1</v>
      </c>
      <c r="F30" s="2">
        <f t="shared" si="17"/>
        <v>2</v>
      </c>
      <c r="G30" s="2">
        <f t="shared" si="17"/>
        <v>1</v>
      </c>
      <c r="H30" s="2">
        <f t="shared" si="17"/>
        <v>1</v>
      </c>
      <c r="I30" s="2">
        <f t="shared" si="17"/>
        <v>1</v>
      </c>
      <c r="J30" s="2">
        <f t="shared" si="17"/>
        <v>1</v>
      </c>
      <c r="K30" s="2">
        <f t="shared" si="17"/>
        <v>-1</v>
      </c>
      <c r="L30" s="2">
        <f t="shared" si="17"/>
        <v>1</v>
      </c>
      <c r="M30" s="2">
        <f t="shared" si="17"/>
        <v>-2</v>
      </c>
      <c r="N30" s="2">
        <f t="shared" si="17"/>
        <v>-1</v>
      </c>
      <c r="O30" s="2">
        <f t="shared" si="17"/>
        <v>1</v>
      </c>
    </row>
    <row r="31">
      <c r="B31" s="1" t="s">
        <v>46</v>
      </c>
      <c r="C31" s="1"/>
      <c r="D31" s="2">
        <f t="shared" ref="D31:O31" si="18">D15-D16</f>
        <v>1</v>
      </c>
      <c r="E31" s="2">
        <f t="shared" si="18"/>
        <v>1</v>
      </c>
      <c r="F31" s="2">
        <f t="shared" si="18"/>
        <v>-1</v>
      </c>
      <c r="G31" s="2">
        <f t="shared" si="18"/>
        <v>1</v>
      </c>
      <c r="H31" s="2">
        <f t="shared" si="18"/>
        <v>1</v>
      </c>
      <c r="I31" s="2">
        <f t="shared" si="18"/>
        <v>1</v>
      </c>
      <c r="J31" s="2">
        <f t="shared" si="18"/>
        <v>1</v>
      </c>
      <c r="K31" s="2">
        <f t="shared" si="18"/>
        <v>2</v>
      </c>
      <c r="L31" s="2">
        <f t="shared" si="18"/>
        <v>1</v>
      </c>
      <c r="M31" s="2">
        <f t="shared" si="18"/>
        <v>1</v>
      </c>
      <c r="N31" s="2">
        <f t="shared" si="18"/>
        <v>-1</v>
      </c>
      <c r="O31" s="2">
        <f t="shared" si="18"/>
        <v>1</v>
      </c>
    </row>
    <row r="32">
      <c r="B32" s="1" t="s">
        <v>47</v>
      </c>
      <c r="C32" s="1"/>
      <c r="D32" s="2">
        <f t="shared" ref="D32:O32" si="19">D16-D17</f>
        <v>1</v>
      </c>
      <c r="E32" s="2">
        <f t="shared" si="19"/>
        <v>1</v>
      </c>
      <c r="F32" s="2">
        <f t="shared" si="19"/>
        <v>2</v>
      </c>
      <c r="G32" s="2">
        <f t="shared" si="19"/>
        <v>1</v>
      </c>
      <c r="H32" s="2">
        <f t="shared" si="19"/>
        <v>1</v>
      </c>
      <c r="I32" s="2">
        <f t="shared" si="19"/>
        <v>1</v>
      </c>
      <c r="J32" s="2">
        <f t="shared" si="19"/>
        <v>1</v>
      </c>
      <c r="K32" s="2">
        <f t="shared" si="19"/>
        <v>1</v>
      </c>
      <c r="L32" s="2">
        <f t="shared" si="19"/>
        <v>1</v>
      </c>
      <c r="M32" s="2">
        <f t="shared" si="19"/>
        <v>2</v>
      </c>
      <c r="N32" s="2">
        <f t="shared" si="19"/>
        <v>3</v>
      </c>
      <c r="O32" s="2">
        <f t="shared" si="19"/>
        <v>1</v>
      </c>
    </row>
    <row r="35">
      <c r="A35" s="1" t="s">
        <v>48</v>
      </c>
    </row>
    <row r="36">
      <c r="A36" s="1" t="s">
        <v>34</v>
      </c>
      <c r="B36" s="1" t="s">
        <v>45</v>
      </c>
      <c r="C36" s="1"/>
      <c r="D36" s="2">
        <f t="shared" ref="D36:O36" si="20">abs(D5-D6)</f>
        <v>1</v>
      </c>
      <c r="E36" s="2">
        <f t="shared" si="20"/>
        <v>1</v>
      </c>
      <c r="F36" s="2">
        <f t="shared" si="20"/>
        <v>2</v>
      </c>
      <c r="G36" s="2">
        <f t="shared" si="20"/>
        <v>1</v>
      </c>
      <c r="H36" s="2">
        <f t="shared" si="20"/>
        <v>1</v>
      </c>
      <c r="I36" s="2">
        <f t="shared" si="20"/>
        <v>1</v>
      </c>
      <c r="J36" s="2">
        <f t="shared" si="20"/>
        <v>1</v>
      </c>
      <c r="K36" s="2">
        <f t="shared" si="20"/>
        <v>1</v>
      </c>
      <c r="L36" s="2">
        <f t="shared" si="20"/>
        <v>1</v>
      </c>
      <c r="M36" s="2">
        <f t="shared" si="20"/>
        <v>1</v>
      </c>
      <c r="N36" s="2">
        <f t="shared" si="20"/>
        <v>2</v>
      </c>
      <c r="O36" s="2">
        <f t="shared" si="20"/>
        <v>2</v>
      </c>
    </row>
    <row r="37">
      <c r="B37" s="1" t="s">
        <v>46</v>
      </c>
      <c r="C37" s="1"/>
      <c r="D37" s="2">
        <f t="shared" ref="D37:O37" si="21">abs(D5-D7)</f>
        <v>2</v>
      </c>
      <c r="E37" s="2">
        <f t="shared" si="21"/>
        <v>2</v>
      </c>
      <c r="F37" s="2">
        <f t="shared" si="21"/>
        <v>1</v>
      </c>
      <c r="G37" s="2">
        <f t="shared" si="21"/>
        <v>2</v>
      </c>
      <c r="H37" s="2">
        <f t="shared" si="21"/>
        <v>2</v>
      </c>
      <c r="I37" s="2">
        <f t="shared" si="21"/>
        <v>2</v>
      </c>
      <c r="J37" s="2">
        <f t="shared" si="21"/>
        <v>2</v>
      </c>
      <c r="K37" s="2">
        <f t="shared" si="21"/>
        <v>1</v>
      </c>
      <c r="L37" s="2">
        <f t="shared" si="21"/>
        <v>2</v>
      </c>
      <c r="M37" s="2">
        <f t="shared" si="21"/>
        <v>2</v>
      </c>
      <c r="N37" s="2">
        <f t="shared" si="21"/>
        <v>1</v>
      </c>
      <c r="O37" s="2">
        <f t="shared" si="21"/>
        <v>1</v>
      </c>
    </row>
    <row r="38">
      <c r="A38" s="1"/>
      <c r="B38" s="1" t="s">
        <v>47</v>
      </c>
      <c r="C38" s="1"/>
      <c r="D38" s="2">
        <f t="shared" ref="D38:O38" si="22">abs(D6-D7)</f>
        <v>1</v>
      </c>
      <c r="E38" s="2">
        <f t="shared" si="22"/>
        <v>1</v>
      </c>
      <c r="F38" s="2">
        <f t="shared" si="22"/>
        <v>1</v>
      </c>
      <c r="G38" s="2">
        <f t="shared" si="22"/>
        <v>1</v>
      </c>
      <c r="H38" s="2">
        <f t="shared" si="22"/>
        <v>1</v>
      </c>
      <c r="I38" s="2">
        <f t="shared" si="22"/>
        <v>1</v>
      </c>
      <c r="J38" s="2">
        <f t="shared" si="22"/>
        <v>1</v>
      </c>
      <c r="K38" s="2">
        <f t="shared" si="22"/>
        <v>2</v>
      </c>
      <c r="L38" s="2">
        <f t="shared" si="22"/>
        <v>1</v>
      </c>
      <c r="M38" s="2">
        <f t="shared" si="22"/>
        <v>1</v>
      </c>
      <c r="N38" s="2">
        <f t="shared" si="22"/>
        <v>1</v>
      </c>
      <c r="O38" s="2">
        <f t="shared" si="22"/>
        <v>1</v>
      </c>
    </row>
    <row r="39">
      <c r="A39" s="1" t="s">
        <v>40</v>
      </c>
      <c r="B39" s="1" t="s">
        <v>45</v>
      </c>
      <c r="C39" s="1"/>
      <c r="D39" s="2">
        <f t="shared" ref="D39:O39" si="23">abs(D8-D9)</f>
        <v>1</v>
      </c>
      <c r="E39" s="2">
        <f t="shared" si="23"/>
        <v>1</v>
      </c>
      <c r="F39" s="2">
        <f t="shared" si="23"/>
        <v>1</v>
      </c>
      <c r="G39" s="2">
        <f t="shared" si="23"/>
        <v>1</v>
      </c>
      <c r="H39" s="2">
        <f t="shared" si="23"/>
        <v>1</v>
      </c>
      <c r="I39" s="2">
        <f t="shared" si="23"/>
        <v>1</v>
      </c>
      <c r="J39" s="2">
        <f t="shared" si="23"/>
        <v>1</v>
      </c>
      <c r="K39" s="2">
        <f t="shared" si="23"/>
        <v>1</v>
      </c>
      <c r="L39" s="2">
        <f t="shared" si="23"/>
        <v>1</v>
      </c>
      <c r="M39" s="2">
        <f t="shared" si="23"/>
        <v>1</v>
      </c>
      <c r="N39" s="2">
        <f t="shared" si="23"/>
        <v>1</v>
      </c>
      <c r="O39" s="2">
        <f t="shared" si="23"/>
        <v>2</v>
      </c>
    </row>
    <row r="40">
      <c r="B40" s="1" t="s">
        <v>46</v>
      </c>
      <c r="C40" s="1"/>
      <c r="D40" s="2">
        <f t="shared" ref="D40:O40" si="24">abs(D8-D10)</f>
        <v>2</v>
      </c>
      <c r="E40" s="2">
        <f t="shared" si="24"/>
        <v>2</v>
      </c>
      <c r="F40" s="2">
        <f t="shared" si="24"/>
        <v>2</v>
      </c>
      <c r="G40" s="2">
        <f t="shared" si="24"/>
        <v>2</v>
      </c>
      <c r="H40" s="2">
        <f t="shared" si="24"/>
        <v>2</v>
      </c>
      <c r="I40" s="2">
        <f t="shared" si="24"/>
        <v>2</v>
      </c>
      <c r="J40" s="2">
        <f t="shared" si="24"/>
        <v>2</v>
      </c>
      <c r="K40" s="2">
        <f t="shared" si="24"/>
        <v>1</v>
      </c>
      <c r="L40" s="2">
        <f t="shared" si="24"/>
        <v>2</v>
      </c>
      <c r="M40" s="2">
        <f t="shared" si="24"/>
        <v>1</v>
      </c>
      <c r="N40" s="2">
        <f t="shared" si="24"/>
        <v>2</v>
      </c>
      <c r="O40" s="2">
        <f t="shared" si="24"/>
        <v>1</v>
      </c>
    </row>
    <row r="41">
      <c r="B41" s="1" t="s">
        <v>47</v>
      </c>
      <c r="C41" s="1"/>
      <c r="D41" s="2">
        <f t="shared" ref="D41:O41" si="25">abs(D9-D10)</f>
        <v>1</v>
      </c>
      <c r="E41" s="2">
        <f t="shared" si="25"/>
        <v>1</v>
      </c>
      <c r="F41" s="2">
        <f t="shared" si="25"/>
        <v>1</v>
      </c>
      <c r="G41" s="2">
        <f t="shared" si="25"/>
        <v>1</v>
      </c>
      <c r="H41" s="2">
        <f t="shared" si="25"/>
        <v>1</v>
      </c>
      <c r="I41" s="2">
        <f t="shared" si="25"/>
        <v>1</v>
      </c>
      <c r="J41" s="2">
        <f t="shared" si="25"/>
        <v>1</v>
      </c>
      <c r="K41" s="2">
        <f t="shared" si="25"/>
        <v>2</v>
      </c>
      <c r="L41" s="2">
        <f t="shared" si="25"/>
        <v>1</v>
      </c>
      <c r="M41" s="2">
        <f t="shared" si="25"/>
        <v>2</v>
      </c>
      <c r="N41" s="2">
        <f t="shared" si="25"/>
        <v>1</v>
      </c>
      <c r="O41" s="2">
        <f t="shared" si="25"/>
        <v>1</v>
      </c>
    </row>
    <row r="42">
      <c r="A42" s="1" t="s">
        <v>41</v>
      </c>
      <c r="B42" s="1" t="s">
        <v>45</v>
      </c>
      <c r="C42" s="1"/>
      <c r="D42" s="2">
        <f t="shared" ref="D42:O42" si="26">abs(D11-D12)</f>
        <v>1</v>
      </c>
      <c r="E42" s="2">
        <f t="shared" si="26"/>
        <v>1</v>
      </c>
      <c r="F42" s="2">
        <f t="shared" si="26"/>
        <v>2</v>
      </c>
      <c r="G42" s="2">
        <f t="shared" si="26"/>
        <v>1</v>
      </c>
      <c r="H42" s="2">
        <f t="shared" si="26"/>
        <v>1</v>
      </c>
      <c r="I42" s="2">
        <f t="shared" si="26"/>
        <v>1</v>
      </c>
      <c r="J42" s="2">
        <f t="shared" si="26"/>
        <v>1</v>
      </c>
      <c r="K42" s="2">
        <f t="shared" si="26"/>
        <v>2</v>
      </c>
      <c r="L42" s="2">
        <f t="shared" si="26"/>
        <v>1</v>
      </c>
      <c r="M42" s="2">
        <f t="shared" si="26"/>
        <v>1</v>
      </c>
      <c r="N42" s="2">
        <f t="shared" si="26"/>
        <v>1</v>
      </c>
      <c r="O42" s="2">
        <f t="shared" si="26"/>
        <v>1</v>
      </c>
    </row>
    <row r="43">
      <c r="B43" s="1" t="s">
        <v>46</v>
      </c>
      <c r="C43" s="1"/>
      <c r="D43" s="2">
        <f t="shared" ref="D43:O43" si="27">abs(D11-D13)</f>
        <v>2</v>
      </c>
      <c r="E43" s="2">
        <f t="shared" si="27"/>
        <v>2</v>
      </c>
      <c r="F43" s="2">
        <f t="shared" si="27"/>
        <v>1</v>
      </c>
      <c r="G43" s="2">
        <f t="shared" si="27"/>
        <v>2</v>
      </c>
      <c r="H43" s="2">
        <f t="shared" si="27"/>
        <v>2</v>
      </c>
      <c r="I43" s="2">
        <f t="shared" si="27"/>
        <v>2</v>
      </c>
      <c r="J43" s="2">
        <f t="shared" si="27"/>
        <v>2</v>
      </c>
      <c r="K43" s="2">
        <f t="shared" si="27"/>
        <v>1</v>
      </c>
      <c r="L43" s="2">
        <f t="shared" si="27"/>
        <v>2</v>
      </c>
      <c r="M43" s="2">
        <f t="shared" si="27"/>
        <v>1</v>
      </c>
      <c r="N43" s="2">
        <f t="shared" si="27"/>
        <v>2</v>
      </c>
      <c r="O43" s="2">
        <f t="shared" si="27"/>
        <v>2</v>
      </c>
    </row>
    <row r="44">
      <c r="B44" s="1" t="s">
        <v>47</v>
      </c>
      <c r="C44" s="1"/>
      <c r="D44" s="2">
        <f t="shared" ref="D44:O44" si="28">abs(D12-D13)</f>
        <v>1</v>
      </c>
      <c r="E44" s="2">
        <f t="shared" si="28"/>
        <v>1</v>
      </c>
      <c r="F44" s="2">
        <f t="shared" si="28"/>
        <v>1</v>
      </c>
      <c r="G44" s="2">
        <f t="shared" si="28"/>
        <v>1</v>
      </c>
      <c r="H44" s="2">
        <f t="shared" si="28"/>
        <v>1</v>
      </c>
      <c r="I44" s="2">
        <f t="shared" si="28"/>
        <v>1</v>
      </c>
      <c r="J44" s="2">
        <f t="shared" si="28"/>
        <v>1</v>
      </c>
      <c r="K44" s="2">
        <f t="shared" si="28"/>
        <v>1</v>
      </c>
      <c r="L44" s="2">
        <f t="shared" si="28"/>
        <v>1</v>
      </c>
      <c r="M44" s="2">
        <f t="shared" si="28"/>
        <v>2</v>
      </c>
      <c r="N44" s="2">
        <f t="shared" si="28"/>
        <v>1</v>
      </c>
      <c r="O44" s="2">
        <f t="shared" si="28"/>
        <v>1</v>
      </c>
    </row>
    <row r="45">
      <c r="A45" s="1" t="s">
        <v>43</v>
      </c>
      <c r="B45" s="1" t="s">
        <v>45</v>
      </c>
      <c r="C45" s="1"/>
      <c r="D45" s="2">
        <f t="shared" ref="D45:O45" si="29">abs(D14-D15)</f>
        <v>1</v>
      </c>
      <c r="E45" s="2">
        <f t="shared" si="29"/>
        <v>1</v>
      </c>
      <c r="F45" s="2">
        <f t="shared" si="29"/>
        <v>2</v>
      </c>
      <c r="G45" s="2">
        <f t="shared" si="29"/>
        <v>1</v>
      </c>
      <c r="H45" s="2">
        <f t="shared" si="29"/>
        <v>1</v>
      </c>
      <c r="I45" s="2">
        <f t="shared" si="29"/>
        <v>1</v>
      </c>
      <c r="J45" s="2">
        <f t="shared" si="29"/>
        <v>1</v>
      </c>
      <c r="K45" s="2">
        <f t="shared" si="29"/>
        <v>1</v>
      </c>
      <c r="L45" s="2">
        <f t="shared" si="29"/>
        <v>1</v>
      </c>
      <c r="M45" s="2">
        <f t="shared" si="29"/>
        <v>2</v>
      </c>
      <c r="N45" s="2">
        <f t="shared" si="29"/>
        <v>1</v>
      </c>
      <c r="O45" s="2">
        <f t="shared" si="29"/>
        <v>1</v>
      </c>
    </row>
    <row r="46">
      <c r="B46" s="1" t="s">
        <v>46</v>
      </c>
      <c r="C46" s="1"/>
      <c r="D46" s="2">
        <f t="shared" ref="D46:O46" si="30">abs(D14-D16)</f>
        <v>2</v>
      </c>
      <c r="E46" s="2">
        <f t="shared" si="30"/>
        <v>2</v>
      </c>
      <c r="F46" s="2">
        <f t="shared" si="30"/>
        <v>1</v>
      </c>
      <c r="G46" s="2">
        <f t="shared" si="30"/>
        <v>2</v>
      </c>
      <c r="H46" s="2">
        <f t="shared" si="30"/>
        <v>2</v>
      </c>
      <c r="I46" s="2">
        <f t="shared" si="30"/>
        <v>2</v>
      </c>
      <c r="J46" s="2">
        <f t="shared" si="30"/>
        <v>2</v>
      </c>
      <c r="K46" s="2">
        <f t="shared" si="30"/>
        <v>1</v>
      </c>
      <c r="L46" s="2">
        <f t="shared" si="30"/>
        <v>2</v>
      </c>
      <c r="M46" s="2">
        <f t="shared" si="30"/>
        <v>1</v>
      </c>
      <c r="N46" s="2">
        <f t="shared" si="30"/>
        <v>2</v>
      </c>
      <c r="O46" s="2">
        <f t="shared" si="30"/>
        <v>2</v>
      </c>
    </row>
    <row r="47">
      <c r="B47" s="1" t="s">
        <v>47</v>
      </c>
      <c r="C47" s="1"/>
      <c r="D47" s="2">
        <f t="shared" ref="D47:O47" si="31">abs(D15-D16)</f>
        <v>1</v>
      </c>
      <c r="E47" s="2">
        <f t="shared" si="31"/>
        <v>1</v>
      </c>
      <c r="F47" s="2">
        <f t="shared" si="31"/>
        <v>1</v>
      </c>
      <c r="G47" s="2">
        <f t="shared" si="31"/>
        <v>1</v>
      </c>
      <c r="H47" s="2">
        <f t="shared" si="31"/>
        <v>1</v>
      </c>
      <c r="I47" s="2">
        <f t="shared" si="31"/>
        <v>1</v>
      </c>
      <c r="J47" s="2">
        <f t="shared" si="31"/>
        <v>1</v>
      </c>
      <c r="K47" s="2">
        <f t="shared" si="31"/>
        <v>2</v>
      </c>
      <c r="L47" s="2">
        <f t="shared" si="31"/>
        <v>1</v>
      </c>
      <c r="M47" s="2">
        <f t="shared" si="31"/>
        <v>1</v>
      </c>
      <c r="N47" s="2">
        <f t="shared" si="31"/>
        <v>1</v>
      </c>
      <c r="O47" s="2">
        <f t="shared" si="31"/>
        <v>1</v>
      </c>
    </row>
    <row r="49">
      <c r="A49" s="1" t="s">
        <v>49</v>
      </c>
    </row>
    <row r="50">
      <c r="A50" s="1" t="s">
        <v>34</v>
      </c>
      <c r="B50" s="1" t="s">
        <v>45</v>
      </c>
      <c r="C50" s="1"/>
      <c r="D50" s="2">
        <f t="shared" ref="D50:O50" si="32">_xlfn.RANK.AVG(D36,$D36:$O36,1)</f>
        <v>5</v>
      </c>
      <c r="E50" s="2">
        <f t="shared" si="32"/>
        <v>5</v>
      </c>
      <c r="F50" s="2">
        <f t="shared" si="32"/>
        <v>11</v>
      </c>
      <c r="G50" s="2">
        <f t="shared" si="32"/>
        <v>5</v>
      </c>
      <c r="H50" s="2">
        <f t="shared" si="32"/>
        <v>5</v>
      </c>
      <c r="I50" s="2">
        <f t="shared" si="32"/>
        <v>5</v>
      </c>
      <c r="J50" s="2">
        <f t="shared" si="32"/>
        <v>5</v>
      </c>
      <c r="K50" s="2">
        <f t="shared" si="32"/>
        <v>5</v>
      </c>
      <c r="L50" s="2">
        <f t="shared" si="32"/>
        <v>5</v>
      </c>
      <c r="M50" s="2">
        <f t="shared" si="32"/>
        <v>5</v>
      </c>
      <c r="N50" s="2">
        <f t="shared" si="32"/>
        <v>11</v>
      </c>
      <c r="O50" s="2">
        <f t="shared" si="32"/>
        <v>11</v>
      </c>
    </row>
    <row r="51">
      <c r="B51" s="1" t="s">
        <v>46</v>
      </c>
      <c r="C51" s="1"/>
      <c r="D51" s="2">
        <f t="shared" ref="D51:O51" si="33">_xlfn.RANK.AVG(D37,$D37:$O37,1)</f>
        <v>8.5</v>
      </c>
      <c r="E51" s="2">
        <f t="shared" si="33"/>
        <v>8.5</v>
      </c>
      <c r="F51" s="2">
        <f t="shared" si="33"/>
        <v>2.5</v>
      </c>
      <c r="G51" s="2">
        <f t="shared" si="33"/>
        <v>8.5</v>
      </c>
      <c r="H51" s="2">
        <f t="shared" si="33"/>
        <v>8.5</v>
      </c>
      <c r="I51" s="2">
        <f t="shared" si="33"/>
        <v>8.5</v>
      </c>
      <c r="J51" s="2">
        <f t="shared" si="33"/>
        <v>8.5</v>
      </c>
      <c r="K51" s="2">
        <f t="shared" si="33"/>
        <v>2.5</v>
      </c>
      <c r="L51" s="2">
        <f t="shared" si="33"/>
        <v>8.5</v>
      </c>
      <c r="M51" s="2">
        <f t="shared" si="33"/>
        <v>8.5</v>
      </c>
      <c r="N51" s="2">
        <f t="shared" si="33"/>
        <v>2.5</v>
      </c>
      <c r="O51" s="2">
        <f t="shared" si="33"/>
        <v>2.5</v>
      </c>
    </row>
    <row r="52">
      <c r="A52" s="1"/>
      <c r="B52" s="1" t="s">
        <v>47</v>
      </c>
      <c r="C52" s="1"/>
      <c r="D52" s="2">
        <f t="shared" ref="D52:O52" si="34">_xlfn.RANK.AVG(D38,$D38:$O38,1)</f>
        <v>6</v>
      </c>
      <c r="E52" s="2">
        <f t="shared" si="34"/>
        <v>6</v>
      </c>
      <c r="F52" s="2">
        <f t="shared" si="34"/>
        <v>6</v>
      </c>
      <c r="G52" s="2">
        <f t="shared" si="34"/>
        <v>6</v>
      </c>
      <c r="H52" s="2">
        <f t="shared" si="34"/>
        <v>6</v>
      </c>
      <c r="I52" s="2">
        <f t="shared" si="34"/>
        <v>6</v>
      </c>
      <c r="J52" s="2">
        <f t="shared" si="34"/>
        <v>6</v>
      </c>
      <c r="K52" s="2">
        <f t="shared" si="34"/>
        <v>12</v>
      </c>
      <c r="L52" s="2">
        <f t="shared" si="34"/>
        <v>6</v>
      </c>
      <c r="M52" s="2">
        <f t="shared" si="34"/>
        <v>6</v>
      </c>
      <c r="N52" s="2">
        <f t="shared" si="34"/>
        <v>6</v>
      </c>
      <c r="O52" s="2">
        <f t="shared" si="34"/>
        <v>6</v>
      </c>
    </row>
    <row r="53">
      <c r="A53" s="1" t="s">
        <v>40</v>
      </c>
      <c r="B53" s="1" t="s">
        <v>45</v>
      </c>
      <c r="C53" s="1"/>
      <c r="D53" s="2">
        <f t="shared" ref="D53:O53" si="35">_xlfn.RANK.AVG(D39,$D39:$O39,1)</f>
        <v>6</v>
      </c>
      <c r="E53" s="2">
        <f t="shared" si="35"/>
        <v>6</v>
      </c>
      <c r="F53" s="2">
        <f t="shared" si="35"/>
        <v>6</v>
      </c>
      <c r="G53" s="2">
        <f t="shared" si="35"/>
        <v>6</v>
      </c>
      <c r="H53" s="2">
        <f t="shared" si="35"/>
        <v>6</v>
      </c>
      <c r="I53" s="2">
        <f t="shared" si="35"/>
        <v>6</v>
      </c>
      <c r="J53" s="2">
        <f t="shared" si="35"/>
        <v>6</v>
      </c>
      <c r="K53" s="2">
        <f t="shared" si="35"/>
        <v>6</v>
      </c>
      <c r="L53" s="2">
        <f t="shared" si="35"/>
        <v>6</v>
      </c>
      <c r="M53" s="2">
        <f t="shared" si="35"/>
        <v>6</v>
      </c>
      <c r="N53" s="2">
        <f t="shared" si="35"/>
        <v>6</v>
      </c>
      <c r="O53" s="2">
        <f t="shared" si="35"/>
        <v>12</v>
      </c>
    </row>
    <row r="54">
      <c r="B54" s="1" t="s">
        <v>46</v>
      </c>
      <c r="C54" s="1"/>
      <c r="D54" s="2">
        <f t="shared" ref="D54:O54" si="36">_xlfn.RANK.AVG(D40,$D40:$O40,1)</f>
        <v>8</v>
      </c>
      <c r="E54" s="2">
        <f t="shared" si="36"/>
        <v>8</v>
      </c>
      <c r="F54" s="2">
        <f t="shared" si="36"/>
        <v>8</v>
      </c>
      <c r="G54" s="2">
        <f t="shared" si="36"/>
        <v>8</v>
      </c>
      <c r="H54" s="2">
        <f t="shared" si="36"/>
        <v>8</v>
      </c>
      <c r="I54" s="2">
        <f t="shared" si="36"/>
        <v>8</v>
      </c>
      <c r="J54" s="2">
        <f t="shared" si="36"/>
        <v>8</v>
      </c>
      <c r="K54" s="2">
        <f t="shared" si="36"/>
        <v>2</v>
      </c>
      <c r="L54" s="2">
        <f t="shared" si="36"/>
        <v>8</v>
      </c>
      <c r="M54" s="2">
        <f t="shared" si="36"/>
        <v>2</v>
      </c>
      <c r="N54" s="2">
        <f t="shared" si="36"/>
        <v>8</v>
      </c>
      <c r="O54" s="2">
        <f t="shared" si="36"/>
        <v>2</v>
      </c>
    </row>
    <row r="55">
      <c r="B55" s="1" t="s">
        <v>47</v>
      </c>
      <c r="C55" s="1"/>
      <c r="D55" s="2">
        <f t="shared" ref="D55:O55" si="37">_xlfn.RANK.AVG(D41,$D41:$O41,1)</f>
        <v>5.5</v>
      </c>
      <c r="E55" s="2">
        <f t="shared" si="37"/>
        <v>5.5</v>
      </c>
      <c r="F55" s="2">
        <f t="shared" si="37"/>
        <v>5.5</v>
      </c>
      <c r="G55" s="2">
        <f t="shared" si="37"/>
        <v>5.5</v>
      </c>
      <c r="H55" s="2">
        <f t="shared" si="37"/>
        <v>5.5</v>
      </c>
      <c r="I55" s="2">
        <f t="shared" si="37"/>
        <v>5.5</v>
      </c>
      <c r="J55" s="2">
        <f t="shared" si="37"/>
        <v>5.5</v>
      </c>
      <c r="K55" s="2">
        <f t="shared" si="37"/>
        <v>11.5</v>
      </c>
      <c r="L55" s="2">
        <f t="shared" si="37"/>
        <v>5.5</v>
      </c>
      <c r="M55" s="2">
        <f t="shared" si="37"/>
        <v>11.5</v>
      </c>
      <c r="N55" s="2">
        <f t="shared" si="37"/>
        <v>5.5</v>
      </c>
      <c r="O55" s="2">
        <f t="shared" si="37"/>
        <v>5.5</v>
      </c>
    </row>
    <row r="56">
      <c r="A56" s="1" t="s">
        <v>41</v>
      </c>
      <c r="B56" s="1" t="s">
        <v>45</v>
      </c>
      <c r="C56" s="1"/>
      <c r="D56" s="2">
        <f t="shared" ref="D56:O56" si="38">_xlfn.RANK.AVG(D42,$D42:$O42,1)</f>
        <v>5.5</v>
      </c>
      <c r="E56" s="2">
        <f t="shared" si="38"/>
        <v>5.5</v>
      </c>
      <c r="F56" s="2">
        <f t="shared" si="38"/>
        <v>11.5</v>
      </c>
      <c r="G56" s="2">
        <f t="shared" si="38"/>
        <v>5.5</v>
      </c>
      <c r="H56" s="2">
        <f t="shared" si="38"/>
        <v>5.5</v>
      </c>
      <c r="I56" s="2">
        <f t="shared" si="38"/>
        <v>5.5</v>
      </c>
      <c r="J56" s="2">
        <f t="shared" si="38"/>
        <v>5.5</v>
      </c>
      <c r="K56" s="2">
        <f t="shared" si="38"/>
        <v>11.5</v>
      </c>
      <c r="L56" s="2">
        <f t="shared" si="38"/>
        <v>5.5</v>
      </c>
      <c r="M56" s="2">
        <f t="shared" si="38"/>
        <v>5.5</v>
      </c>
      <c r="N56" s="2">
        <f t="shared" si="38"/>
        <v>5.5</v>
      </c>
      <c r="O56" s="2">
        <f t="shared" si="38"/>
        <v>5.5</v>
      </c>
    </row>
    <row r="57">
      <c r="B57" s="1" t="s">
        <v>46</v>
      </c>
      <c r="C57" s="1"/>
      <c r="D57" s="2">
        <f t="shared" ref="D57:O57" si="39">_xlfn.RANK.AVG(D43,$D43:$O43,1)</f>
        <v>8</v>
      </c>
      <c r="E57" s="2">
        <f t="shared" si="39"/>
        <v>8</v>
      </c>
      <c r="F57" s="2">
        <f t="shared" si="39"/>
        <v>2</v>
      </c>
      <c r="G57" s="2">
        <f t="shared" si="39"/>
        <v>8</v>
      </c>
      <c r="H57" s="2">
        <f t="shared" si="39"/>
        <v>8</v>
      </c>
      <c r="I57" s="2">
        <f t="shared" si="39"/>
        <v>8</v>
      </c>
      <c r="J57" s="2">
        <f t="shared" si="39"/>
        <v>8</v>
      </c>
      <c r="K57" s="2">
        <f t="shared" si="39"/>
        <v>2</v>
      </c>
      <c r="L57" s="2">
        <f t="shared" si="39"/>
        <v>8</v>
      </c>
      <c r="M57" s="2">
        <f t="shared" si="39"/>
        <v>2</v>
      </c>
      <c r="N57" s="2">
        <f t="shared" si="39"/>
        <v>8</v>
      </c>
      <c r="O57" s="2">
        <f t="shared" si="39"/>
        <v>8</v>
      </c>
    </row>
    <row r="58">
      <c r="B58" s="1" t="s">
        <v>47</v>
      </c>
      <c r="C58" s="1"/>
      <c r="D58" s="2">
        <f t="shared" ref="D58:O58" si="40">_xlfn.RANK.AVG(D44,$D44:$O44,1)</f>
        <v>6</v>
      </c>
      <c r="E58" s="2">
        <f t="shared" si="40"/>
        <v>6</v>
      </c>
      <c r="F58" s="2">
        <f t="shared" si="40"/>
        <v>6</v>
      </c>
      <c r="G58" s="2">
        <f t="shared" si="40"/>
        <v>6</v>
      </c>
      <c r="H58" s="2">
        <f t="shared" si="40"/>
        <v>6</v>
      </c>
      <c r="I58" s="2">
        <f t="shared" si="40"/>
        <v>6</v>
      </c>
      <c r="J58" s="2">
        <f t="shared" si="40"/>
        <v>6</v>
      </c>
      <c r="K58" s="2">
        <f t="shared" si="40"/>
        <v>6</v>
      </c>
      <c r="L58" s="2">
        <f t="shared" si="40"/>
        <v>6</v>
      </c>
      <c r="M58" s="2">
        <f t="shared" si="40"/>
        <v>12</v>
      </c>
      <c r="N58" s="2">
        <f t="shared" si="40"/>
        <v>6</v>
      </c>
      <c r="O58" s="2">
        <f t="shared" si="40"/>
        <v>6</v>
      </c>
    </row>
    <row r="59">
      <c r="A59" s="1" t="s">
        <v>43</v>
      </c>
      <c r="B59" s="1" t="s">
        <v>45</v>
      </c>
      <c r="C59" s="1"/>
      <c r="D59" s="2">
        <f t="shared" ref="D59:O59" si="41">_xlfn.RANK.AVG(D45,$D45:$O45,1)</f>
        <v>5.5</v>
      </c>
      <c r="E59" s="2">
        <f t="shared" si="41"/>
        <v>5.5</v>
      </c>
      <c r="F59" s="2">
        <f t="shared" si="41"/>
        <v>11.5</v>
      </c>
      <c r="G59" s="2">
        <f t="shared" si="41"/>
        <v>5.5</v>
      </c>
      <c r="H59" s="2">
        <f t="shared" si="41"/>
        <v>5.5</v>
      </c>
      <c r="I59" s="2">
        <f t="shared" si="41"/>
        <v>5.5</v>
      </c>
      <c r="J59" s="2">
        <f t="shared" si="41"/>
        <v>5.5</v>
      </c>
      <c r="K59" s="2">
        <f t="shared" si="41"/>
        <v>5.5</v>
      </c>
      <c r="L59" s="2">
        <f t="shared" si="41"/>
        <v>5.5</v>
      </c>
      <c r="M59" s="2">
        <f t="shared" si="41"/>
        <v>11.5</v>
      </c>
      <c r="N59" s="2">
        <f t="shared" si="41"/>
        <v>5.5</v>
      </c>
      <c r="O59" s="2">
        <f t="shared" si="41"/>
        <v>5.5</v>
      </c>
    </row>
    <row r="60">
      <c r="B60" s="1" t="s">
        <v>46</v>
      </c>
      <c r="C60" s="1"/>
      <c r="D60" s="2">
        <f t="shared" ref="D60:O60" si="42">_xlfn.RANK.AVG(D46,$D46:$O46,1)</f>
        <v>8</v>
      </c>
      <c r="E60" s="2">
        <f t="shared" si="42"/>
        <v>8</v>
      </c>
      <c r="F60" s="2">
        <f t="shared" si="42"/>
        <v>2</v>
      </c>
      <c r="G60" s="2">
        <f t="shared" si="42"/>
        <v>8</v>
      </c>
      <c r="H60" s="2">
        <f t="shared" si="42"/>
        <v>8</v>
      </c>
      <c r="I60" s="2">
        <f t="shared" si="42"/>
        <v>8</v>
      </c>
      <c r="J60" s="2">
        <f t="shared" si="42"/>
        <v>8</v>
      </c>
      <c r="K60" s="2">
        <f t="shared" si="42"/>
        <v>2</v>
      </c>
      <c r="L60" s="2">
        <f t="shared" si="42"/>
        <v>8</v>
      </c>
      <c r="M60" s="2">
        <f t="shared" si="42"/>
        <v>2</v>
      </c>
      <c r="N60" s="2">
        <f t="shared" si="42"/>
        <v>8</v>
      </c>
      <c r="O60" s="2">
        <f t="shared" si="42"/>
        <v>8</v>
      </c>
    </row>
    <row r="61">
      <c r="B61" s="1" t="s">
        <v>47</v>
      </c>
      <c r="C61" s="1"/>
      <c r="D61" s="2">
        <f t="shared" ref="D61:O61" si="43">_xlfn.RANK.AVG(D47,$D47:$O47,1)</f>
        <v>6</v>
      </c>
      <c r="E61" s="2">
        <f t="shared" si="43"/>
        <v>6</v>
      </c>
      <c r="F61" s="2">
        <f t="shared" si="43"/>
        <v>6</v>
      </c>
      <c r="G61" s="2">
        <f t="shared" si="43"/>
        <v>6</v>
      </c>
      <c r="H61" s="2">
        <f t="shared" si="43"/>
        <v>6</v>
      </c>
      <c r="I61" s="2">
        <f t="shared" si="43"/>
        <v>6</v>
      </c>
      <c r="J61" s="2">
        <f t="shared" si="43"/>
        <v>6</v>
      </c>
      <c r="K61" s="2">
        <f t="shared" si="43"/>
        <v>12</v>
      </c>
      <c r="L61" s="2">
        <f t="shared" si="43"/>
        <v>6</v>
      </c>
      <c r="M61" s="2">
        <f t="shared" si="43"/>
        <v>6</v>
      </c>
      <c r="N61" s="2">
        <f t="shared" si="43"/>
        <v>6</v>
      </c>
      <c r="O61" s="2">
        <f t="shared" si="43"/>
        <v>6</v>
      </c>
    </row>
    <row r="63">
      <c r="A63" s="1" t="s">
        <v>50</v>
      </c>
      <c r="D63" s="1" t="s">
        <v>51</v>
      </c>
      <c r="E63" s="1" t="s">
        <v>52</v>
      </c>
    </row>
    <row r="64">
      <c r="A64" s="1" t="s">
        <v>34</v>
      </c>
      <c r="B64" s="1" t="s">
        <v>45</v>
      </c>
      <c r="C64" s="1"/>
      <c r="D64" s="2">
        <f t="shared" ref="D64:D75" si="44">sumif(D21:O21,"&gt;0",D50:O50)</f>
        <v>73</v>
      </c>
      <c r="E64" s="2">
        <f t="shared" ref="E64:E75" si="45">sumif(D21:O21,"&lt;0",D50:O50)</f>
        <v>5</v>
      </c>
    </row>
    <row r="65">
      <c r="B65" s="1" t="s">
        <v>46</v>
      </c>
      <c r="C65" s="1"/>
      <c r="D65" s="2">
        <f t="shared" si="44"/>
        <v>70.5</v>
      </c>
      <c r="E65" s="2">
        <f t="shared" si="45"/>
        <v>7.5</v>
      </c>
    </row>
    <row r="66">
      <c r="A66" s="1"/>
      <c r="B66" s="1" t="s">
        <v>47</v>
      </c>
      <c r="C66" s="1"/>
      <c r="D66" s="2">
        <f t="shared" si="44"/>
        <v>6</v>
      </c>
      <c r="E66" s="2">
        <f t="shared" si="45"/>
        <v>72</v>
      </c>
    </row>
    <row r="67">
      <c r="A67" s="1" t="s">
        <v>40</v>
      </c>
      <c r="B67" s="1" t="s">
        <v>45</v>
      </c>
      <c r="C67" s="1"/>
      <c r="D67" s="2">
        <f t="shared" si="44"/>
        <v>60</v>
      </c>
      <c r="E67" s="2">
        <f t="shared" si="45"/>
        <v>18</v>
      </c>
    </row>
    <row r="68">
      <c r="B68" s="1" t="s">
        <v>46</v>
      </c>
      <c r="C68" s="1"/>
      <c r="D68" s="2">
        <f t="shared" si="44"/>
        <v>68</v>
      </c>
      <c r="E68" s="2">
        <f t="shared" si="45"/>
        <v>10</v>
      </c>
    </row>
    <row r="69">
      <c r="B69" s="1" t="s">
        <v>47</v>
      </c>
      <c r="C69" s="1"/>
      <c r="D69" s="2">
        <f t="shared" si="44"/>
        <v>5.5</v>
      </c>
      <c r="E69" s="2">
        <f t="shared" si="45"/>
        <v>61</v>
      </c>
    </row>
    <row r="70">
      <c r="A70" s="1" t="s">
        <v>41</v>
      </c>
      <c r="B70" s="1" t="s">
        <v>45</v>
      </c>
      <c r="C70" s="1"/>
      <c r="D70" s="2">
        <f t="shared" si="44"/>
        <v>55.5</v>
      </c>
      <c r="E70" s="2">
        <f t="shared" si="45"/>
        <v>22.5</v>
      </c>
    </row>
    <row r="71">
      <c r="B71" s="1" t="s">
        <v>46</v>
      </c>
      <c r="C71" s="1"/>
      <c r="D71" s="2">
        <f t="shared" si="44"/>
        <v>68</v>
      </c>
      <c r="E71" s="2">
        <f t="shared" si="45"/>
        <v>10</v>
      </c>
    </row>
    <row r="72">
      <c r="B72" s="1" t="s">
        <v>47</v>
      </c>
      <c r="C72" s="1"/>
      <c r="D72" s="2">
        <f t="shared" si="44"/>
        <v>6</v>
      </c>
      <c r="E72" s="2">
        <f t="shared" si="45"/>
        <v>54</v>
      </c>
    </row>
    <row r="73">
      <c r="A73" s="1" t="s">
        <v>43</v>
      </c>
      <c r="B73" s="1" t="s">
        <v>45</v>
      </c>
      <c r="C73" s="1"/>
      <c r="D73" s="2">
        <f t="shared" si="44"/>
        <v>55.5</v>
      </c>
      <c r="E73" s="2">
        <f t="shared" si="45"/>
        <v>22.5</v>
      </c>
    </row>
    <row r="74">
      <c r="B74" s="1" t="s">
        <v>46</v>
      </c>
      <c r="C74" s="1"/>
      <c r="D74" s="2">
        <f t="shared" si="44"/>
        <v>68</v>
      </c>
      <c r="E74" s="2">
        <f t="shared" si="45"/>
        <v>10</v>
      </c>
    </row>
    <row r="75">
      <c r="B75" s="1" t="s">
        <v>47</v>
      </c>
      <c r="C75" s="1"/>
      <c r="D75" s="2">
        <f t="shared" si="44"/>
        <v>78</v>
      </c>
      <c r="E75" s="2">
        <f t="shared" si="45"/>
        <v>0</v>
      </c>
    </row>
    <row r="77">
      <c r="A77" s="1" t="s">
        <v>53</v>
      </c>
    </row>
    <row r="78">
      <c r="A78" s="1" t="s">
        <v>34</v>
      </c>
      <c r="B78" s="1" t="s">
        <v>45</v>
      </c>
      <c r="C78" s="1"/>
      <c r="D78" s="2">
        <f t="shared" ref="D78:D89" si="46">min(D64:E64)</f>
        <v>5</v>
      </c>
    </row>
    <row r="79">
      <c r="B79" s="1" t="s">
        <v>46</v>
      </c>
      <c r="C79" s="1"/>
      <c r="D79" s="2">
        <f t="shared" si="46"/>
        <v>7.5</v>
      </c>
    </row>
    <row r="80">
      <c r="A80" s="1"/>
      <c r="B80" s="1" t="s">
        <v>47</v>
      </c>
      <c r="C80" s="1"/>
      <c r="D80" s="2">
        <f t="shared" si="46"/>
        <v>6</v>
      </c>
    </row>
    <row r="81">
      <c r="A81" s="1" t="s">
        <v>40</v>
      </c>
      <c r="B81" s="1" t="s">
        <v>45</v>
      </c>
      <c r="C81" s="1"/>
      <c r="D81" s="2">
        <f t="shared" si="46"/>
        <v>18</v>
      </c>
    </row>
    <row r="82">
      <c r="B82" s="1" t="s">
        <v>46</v>
      </c>
      <c r="C82" s="1"/>
      <c r="D82" s="2">
        <f t="shared" si="46"/>
        <v>10</v>
      </c>
    </row>
    <row r="83">
      <c r="B83" s="1" t="s">
        <v>47</v>
      </c>
      <c r="C83" s="1"/>
      <c r="D83" s="2">
        <f t="shared" si="46"/>
        <v>5.5</v>
      </c>
    </row>
    <row r="84">
      <c r="A84" s="1" t="s">
        <v>41</v>
      </c>
      <c r="B84" s="1" t="s">
        <v>45</v>
      </c>
      <c r="C84" s="1"/>
      <c r="D84" s="2">
        <f t="shared" si="46"/>
        <v>22.5</v>
      </c>
    </row>
    <row r="85">
      <c r="B85" s="1" t="s">
        <v>46</v>
      </c>
      <c r="C85" s="1"/>
      <c r="D85" s="2">
        <f t="shared" si="46"/>
        <v>10</v>
      </c>
    </row>
    <row r="86">
      <c r="B86" s="1" t="s">
        <v>47</v>
      </c>
      <c r="C86" s="1"/>
      <c r="D86" s="2">
        <f t="shared" si="46"/>
        <v>6</v>
      </c>
    </row>
    <row r="87">
      <c r="A87" s="1" t="s">
        <v>43</v>
      </c>
      <c r="B87" s="1" t="s">
        <v>45</v>
      </c>
      <c r="C87" s="1"/>
      <c r="D87" s="2">
        <f t="shared" si="46"/>
        <v>22.5</v>
      </c>
    </row>
    <row r="88">
      <c r="B88" s="1" t="s">
        <v>46</v>
      </c>
      <c r="C88" s="1"/>
      <c r="D88" s="2">
        <f t="shared" si="46"/>
        <v>10</v>
      </c>
    </row>
    <row r="89">
      <c r="B89" s="1" t="s">
        <v>47</v>
      </c>
      <c r="C89" s="1"/>
      <c r="D89" s="2">
        <f t="shared" si="46"/>
        <v>0</v>
      </c>
    </row>
    <row r="91">
      <c r="A91" s="1" t="s">
        <v>54</v>
      </c>
    </row>
    <row r="92">
      <c r="A92" s="1" t="s">
        <v>34</v>
      </c>
      <c r="B92" s="1" t="s">
        <v>45</v>
      </c>
      <c r="C92" s="1"/>
      <c r="D92" s="2">
        <f t="shared" ref="D92:D103" si="47">COUNTA(D5:O5)</f>
        <v>12</v>
      </c>
      <c r="E92" s="1" t="s">
        <v>55</v>
      </c>
      <c r="F92" s="1">
        <v>13.0</v>
      </c>
    </row>
    <row r="93">
      <c r="B93" s="1" t="s">
        <v>46</v>
      </c>
      <c r="C93" s="1"/>
      <c r="D93" s="2">
        <f t="shared" si="47"/>
        <v>12</v>
      </c>
      <c r="F93" s="1">
        <v>13.0</v>
      </c>
    </row>
    <row r="94">
      <c r="A94" s="1"/>
      <c r="B94" s="1" t="s">
        <v>47</v>
      </c>
      <c r="C94" s="1"/>
      <c r="D94" s="2">
        <f t="shared" si="47"/>
        <v>12</v>
      </c>
      <c r="F94" s="1">
        <v>13.0</v>
      </c>
    </row>
    <row r="95">
      <c r="A95" s="1" t="s">
        <v>40</v>
      </c>
      <c r="B95" s="1" t="s">
        <v>45</v>
      </c>
      <c r="C95" s="1"/>
      <c r="D95" s="2">
        <f t="shared" si="47"/>
        <v>12</v>
      </c>
      <c r="F95" s="1">
        <v>13.0</v>
      </c>
    </row>
    <row r="96">
      <c r="B96" s="1" t="s">
        <v>46</v>
      </c>
      <c r="C96" s="1"/>
      <c r="D96" s="2">
        <f t="shared" si="47"/>
        <v>12</v>
      </c>
      <c r="F96" s="1">
        <v>13.0</v>
      </c>
    </row>
    <row r="97">
      <c r="B97" s="1" t="s">
        <v>47</v>
      </c>
      <c r="C97" s="1"/>
      <c r="D97" s="2">
        <f t="shared" si="47"/>
        <v>12</v>
      </c>
      <c r="F97" s="1">
        <v>13.0</v>
      </c>
    </row>
    <row r="98">
      <c r="A98" s="1" t="s">
        <v>41</v>
      </c>
      <c r="B98" s="1" t="s">
        <v>45</v>
      </c>
      <c r="C98" s="1"/>
      <c r="D98" s="2">
        <f t="shared" si="47"/>
        <v>12</v>
      </c>
      <c r="F98" s="1">
        <v>13.0</v>
      </c>
    </row>
    <row r="99">
      <c r="B99" s="1" t="s">
        <v>46</v>
      </c>
      <c r="C99" s="1"/>
      <c r="D99" s="2">
        <f t="shared" si="47"/>
        <v>12</v>
      </c>
      <c r="F99" s="1">
        <v>13.0</v>
      </c>
    </row>
    <row r="100">
      <c r="B100" s="1" t="s">
        <v>47</v>
      </c>
      <c r="C100" s="1"/>
      <c r="D100" s="2">
        <f t="shared" si="47"/>
        <v>12</v>
      </c>
      <c r="F100" s="1">
        <v>13.0</v>
      </c>
    </row>
    <row r="101">
      <c r="A101" s="1" t="s">
        <v>43</v>
      </c>
      <c r="B101" s="1" t="s">
        <v>45</v>
      </c>
      <c r="C101" s="1"/>
      <c r="D101" s="2">
        <f t="shared" si="47"/>
        <v>12</v>
      </c>
      <c r="F101" s="1">
        <v>13.0</v>
      </c>
    </row>
    <row r="102">
      <c r="B102" s="1" t="s">
        <v>46</v>
      </c>
      <c r="C102" s="1"/>
      <c r="D102" s="2">
        <f t="shared" si="47"/>
        <v>12</v>
      </c>
      <c r="F102" s="1">
        <v>13.0</v>
      </c>
    </row>
    <row r="103">
      <c r="B103" s="1" t="s">
        <v>47</v>
      </c>
      <c r="C103" s="1"/>
      <c r="D103" s="2">
        <f t="shared" si="47"/>
        <v>12</v>
      </c>
      <c r="F103" s="1">
        <v>13.0</v>
      </c>
    </row>
    <row r="105">
      <c r="A105" s="1" t="s">
        <v>56</v>
      </c>
    </row>
    <row r="106">
      <c r="A106" s="1" t="s">
        <v>34</v>
      </c>
      <c r="B106" s="1" t="s">
        <v>45</v>
      </c>
      <c r="C106" s="1"/>
      <c r="D106" s="2">
        <f t="shared" ref="D106:D117" si="48">0.05/2</f>
        <v>0.025</v>
      </c>
      <c r="F106" s="1" t="s">
        <v>57</v>
      </c>
    </row>
    <row r="107">
      <c r="B107" s="1" t="s">
        <v>46</v>
      </c>
      <c r="C107" s="1"/>
      <c r="D107" s="2">
        <f t="shared" si="48"/>
        <v>0.025</v>
      </c>
    </row>
    <row r="108">
      <c r="A108" s="1"/>
      <c r="B108" s="1" t="s">
        <v>47</v>
      </c>
      <c r="C108" s="1"/>
      <c r="D108" s="2">
        <f t="shared" si="48"/>
        <v>0.025</v>
      </c>
    </row>
    <row r="109">
      <c r="A109" s="1" t="s">
        <v>40</v>
      </c>
      <c r="B109" s="1" t="s">
        <v>45</v>
      </c>
      <c r="C109" s="1"/>
      <c r="D109" s="2">
        <f t="shared" si="48"/>
        <v>0.025</v>
      </c>
    </row>
    <row r="110">
      <c r="B110" s="1" t="s">
        <v>46</v>
      </c>
      <c r="C110" s="1"/>
      <c r="D110" s="2">
        <f t="shared" si="48"/>
        <v>0.025</v>
      </c>
    </row>
    <row r="111">
      <c r="B111" s="1" t="s">
        <v>47</v>
      </c>
      <c r="C111" s="1"/>
      <c r="D111" s="2">
        <f t="shared" si="48"/>
        <v>0.025</v>
      </c>
    </row>
    <row r="112">
      <c r="A112" s="1" t="s">
        <v>41</v>
      </c>
      <c r="B112" s="1" t="s">
        <v>45</v>
      </c>
      <c r="C112" s="1"/>
      <c r="D112" s="2">
        <f t="shared" si="48"/>
        <v>0.025</v>
      </c>
    </row>
    <row r="113">
      <c r="B113" s="1" t="s">
        <v>46</v>
      </c>
      <c r="C113" s="1"/>
      <c r="D113" s="2">
        <f t="shared" si="48"/>
        <v>0.025</v>
      </c>
    </row>
    <row r="114">
      <c r="B114" s="1" t="s">
        <v>47</v>
      </c>
      <c r="C114" s="1"/>
      <c r="D114" s="2">
        <f t="shared" si="48"/>
        <v>0.025</v>
      </c>
    </row>
    <row r="115">
      <c r="A115" s="1" t="s">
        <v>43</v>
      </c>
      <c r="B115" s="1" t="s">
        <v>45</v>
      </c>
      <c r="C115" s="1"/>
      <c r="D115" s="2">
        <f t="shared" si="48"/>
        <v>0.025</v>
      </c>
    </row>
    <row r="116">
      <c r="B116" s="1" t="s">
        <v>46</v>
      </c>
      <c r="C116" s="1"/>
      <c r="D116" s="2">
        <f t="shared" si="48"/>
        <v>0.025</v>
      </c>
    </row>
    <row r="117">
      <c r="B117" s="1" t="s">
        <v>47</v>
      </c>
      <c r="C117" s="1"/>
      <c r="D117" s="2">
        <f t="shared" si="48"/>
        <v>0.025</v>
      </c>
    </row>
    <row r="119">
      <c r="A119" s="1" t="s">
        <v>58</v>
      </c>
    </row>
    <row r="120">
      <c r="A120" s="1" t="s">
        <v>34</v>
      </c>
      <c r="B120" s="1" t="s">
        <v>45</v>
      </c>
      <c r="C120" s="1"/>
      <c r="D120" s="1">
        <v>13.0</v>
      </c>
    </row>
    <row r="121">
      <c r="B121" s="1" t="s">
        <v>46</v>
      </c>
      <c r="C121" s="1"/>
      <c r="D121" s="1">
        <v>13.0</v>
      </c>
    </row>
    <row r="122">
      <c r="A122" s="1"/>
      <c r="B122" s="1" t="s">
        <v>47</v>
      </c>
      <c r="C122" s="1"/>
      <c r="D122" s="1">
        <v>13.0</v>
      </c>
    </row>
    <row r="123">
      <c r="A123" s="1" t="s">
        <v>40</v>
      </c>
      <c r="B123" s="1" t="s">
        <v>45</v>
      </c>
      <c r="C123" s="1"/>
      <c r="D123" s="1">
        <v>13.0</v>
      </c>
    </row>
    <row r="124">
      <c r="B124" s="1" t="s">
        <v>46</v>
      </c>
      <c r="C124" s="1"/>
      <c r="D124" s="1">
        <v>13.0</v>
      </c>
    </row>
    <row r="125">
      <c r="B125" s="1" t="s">
        <v>47</v>
      </c>
      <c r="C125" s="1"/>
      <c r="D125" s="1">
        <v>13.0</v>
      </c>
    </row>
    <row r="126">
      <c r="A126" s="1" t="s">
        <v>41</v>
      </c>
      <c r="B126" s="1" t="s">
        <v>45</v>
      </c>
      <c r="C126" s="1"/>
      <c r="D126" s="1">
        <v>13.0</v>
      </c>
    </row>
    <row r="127">
      <c r="B127" s="1" t="s">
        <v>46</v>
      </c>
      <c r="C127" s="1"/>
      <c r="D127" s="1">
        <v>13.0</v>
      </c>
    </row>
    <row r="128">
      <c r="B128" s="1" t="s">
        <v>47</v>
      </c>
      <c r="C128" s="1"/>
      <c r="D128" s="1">
        <v>13.0</v>
      </c>
    </row>
    <row r="129">
      <c r="A129" s="1" t="s">
        <v>43</v>
      </c>
      <c r="B129" s="1" t="s">
        <v>45</v>
      </c>
      <c r="C129" s="1"/>
      <c r="D129" s="1">
        <v>13.0</v>
      </c>
    </row>
    <row r="130">
      <c r="B130" s="1" t="s">
        <v>46</v>
      </c>
      <c r="C130" s="1"/>
      <c r="D130" s="1">
        <v>13.0</v>
      </c>
    </row>
    <row r="131">
      <c r="B131" s="1" t="s">
        <v>47</v>
      </c>
      <c r="C131" s="1"/>
      <c r="D131" s="1">
        <v>13.0</v>
      </c>
    </row>
    <row r="133">
      <c r="A133" s="1" t="s">
        <v>59</v>
      </c>
    </row>
    <row r="134">
      <c r="A134" s="1" t="s">
        <v>34</v>
      </c>
      <c r="B134" s="1" t="s">
        <v>45</v>
      </c>
      <c r="C134" s="1"/>
      <c r="D134" s="2" t="b">
        <f t="shared" ref="D134:D145" si="49">D78&gt;D120</f>
        <v>0</v>
      </c>
    </row>
    <row r="135">
      <c r="B135" s="1" t="s">
        <v>46</v>
      </c>
      <c r="C135" s="1"/>
      <c r="D135" s="2" t="b">
        <f t="shared" si="49"/>
        <v>0</v>
      </c>
    </row>
    <row r="136">
      <c r="A136" s="1"/>
      <c r="B136" s="1" t="s">
        <v>47</v>
      </c>
      <c r="C136" s="1"/>
      <c r="D136" s="2" t="b">
        <f t="shared" si="49"/>
        <v>0</v>
      </c>
    </row>
    <row r="137">
      <c r="A137" s="1" t="s">
        <v>40</v>
      </c>
      <c r="B137" s="1" t="s">
        <v>45</v>
      </c>
      <c r="C137" s="1"/>
      <c r="D137" s="2" t="b">
        <f t="shared" si="49"/>
        <v>1</v>
      </c>
    </row>
    <row r="138">
      <c r="B138" s="1" t="s">
        <v>46</v>
      </c>
      <c r="C138" s="1"/>
      <c r="D138" s="2" t="b">
        <f t="shared" si="49"/>
        <v>0</v>
      </c>
    </row>
    <row r="139">
      <c r="B139" s="1" t="s">
        <v>47</v>
      </c>
      <c r="C139" s="1"/>
      <c r="D139" s="2" t="b">
        <f t="shared" si="49"/>
        <v>0</v>
      </c>
    </row>
    <row r="140">
      <c r="A140" s="1" t="s">
        <v>41</v>
      </c>
      <c r="B140" s="1" t="s">
        <v>45</v>
      </c>
      <c r="C140" s="1"/>
      <c r="D140" s="2" t="b">
        <f t="shared" si="49"/>
        <v>1</v>
      </c>
    </row>
    <row r="141">
      <c r="B141" s="1" t="s">
        <v>46</v>
      </c>
      <c r="C141" s="1"/>
      <c r="D141" s="2" t="b">
        <f t="shared" si="49"/>
        <v>0</v>
      </c>
    </row>
    <row r="142">
      <c r="B142" s="1" t="s">
        <v>47</v>
      </c>
      <c r="C142" s="1"/>
      <c r="D142" s="2" t="b">
        <f t="shared" si="49"/>
        <v>0</v>
      </c>
    </row>
    <row r="143">
      <c r="A143" s="1" t="s">
        <v>43</v>
      </c>
      <c r="B143" s="1" t="s">
        <v>45</v>
      </c>
      <c r="C143" s="1"/>
      <c r="D143" s="2" t="b">
        <f t="shared" si="49"/>
        <v>1</v>
      </c>
    </row>
    <row r="144">
      <c r="B144" s="1" t="s">
        <v>46</v>
      </c>
      <c r="C144" s="1"/>
      <c r="D144" s="2" t="b">
        <f t="shared" si="49"/>
        <v>0</v>
      </c>
    </row>
    <row r="145">
      <c r="B145" s="1" t="s">
        <v>47</v>
      </c>
      <c r="C145" s="1"/>
      <c r="D145" s="2" t="b">
        <f t="shared" si="49"/>
        <v>0</v>
      </c>
    </row>
    <row r="147">
      <c r="A147" s="1" t="s">
        <v>60</v>
      </c>
    </row>
  </sheetData>
  <conditionalFormatting sqref="D5:O1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hyperlinks>
    <hyperlink r:id="rId1" ref="A1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2">
      <c r="A2" s="7" t="s">
        <v>62</v>
      </c>
      <c r="B2" s="8">
        <v>3.0</v>
      </c>
      <c r="C2" s="8">
        <v>3.0</v>
      </c>
      <c r="D2" s="8">
        <v>3.0</v>
      </c>
      <c r="E2" s="8">
        <v>3.0</v>
      </c>
      <c r="F2" s="9">
        <v>3.0</v>
      </c>
      <c r="G2" s="8">
        <v>3.0</v>
      </c>
      <c r="H2" s="8">
        <v>3.0</v>
      </c>
      <c r="I2" s="10">
        <v>2.0</v>
      </c>
      <c r="J2" s="11">
        <v>2.0</v>
      </c>
    </row>
    <row r="3">
      <c r="A3" s="12" t="s">
        <v>63</v>
      </c>
      <c r="B3" s="1">
        <v>2.0</v>
      </c>
      <c r="C3" s="1">
        <v>2.0</v>
      </c>
      <c r="D3" s="1">
        <v>2.0</v>
      </c>
      <c r="E3" s="1">
        <v>2.0</v>
      </c>
      <c r="F3" s="13">
        <v>1.0</v>
      </c>
      <c r="G3" s="1">
        <v>2.0</v>
      </c>
      <c r="H3" s="1">
        <v>2.0</v>
      </c>
      <c r="I3" s="14">
        <v>3.0</v>
      </c>
      <c r="J3" s="15">
        <v>3.0</v>
      </c>
    </row>
    <row r="4">
      <c r="A4" s="16" t="s">
        <v>64</v>
      </c>
      <c r="B4" s="17">
        <v>1.0</v>
      </c>
      <c r="C4" s="17">
        <v>1.0</v>
      </c>
      <c r="D4" s="17">
        <v>1.0</v>
      </c>
      <c r="E4" s="17">
        <v>1.0</v>
      </c>
      <c r="F4" s="18">
        <v>2.0</v>
      </c>
      <c r="G4" s="17">
        <v>1.0</v>
      </c>
      <c r="H4" s="17">
        <v>1.0</v>
      </c>
      <c r="I4" s="19">
        <v>1.0</v>
      </c>
      <c r="J4" s="20">
        <v>1.0</v>
      </c>
    </row>
    <row r="5">
      <c r="A5" s="7" t="s">
        <v>62</v>
      </c>
      <c r="B5" s="8">
        <v>3.0</v>
      </c>
      <c r="C5" s="8">
        <v>3.0</v>
      </c>
      <c r="D5" s="8">
        <v>3.0</v>
      </c>
      <c r="E5" s="8">
        <v>3.0</v>
      </c>
      <c r="F5" s="9">
        <v>3.0</v>
      </c>
      <c r="G5" s="8">
        <v>3.0</v>
      </c>
      <c r="H5" s="9">
        <v>3.0</v>
      </c>
      <c r="I5" s="8">
        <v>1.0</v>
      </c>
      <c r="J5" s="11">
        <v>2.0</v>
      </c>
    </row>
    <row r="6">
      <c r="A6" s="12" t="s">
        <v>63</v>
      </c>
      <c r="B6" s="1">
        <v>2.0</v>
      </c>
      <c r="C6" s="1">
        <v>2.0</v>
      </c>
      <c r="D6" s="1">
        <v>2.0</v>
      </c>
      <c r="E6" s="1">
        <v>2.0</v>
      </c>
      <c r="F6" s="13">
        <v>1.0</v>
      </c>
      <c r="G6" s="1">
        <v>2.0</v>
      </c>
      <c r="H6" s="13">
        <v>1.0</v>
      </c>
      <c r="I6" s="1">
        <v>2.0</v>
      </c>
      <c r="J6" s="15">
        <v>3.0</v>
      </c>
    </row>
    <row r="7">
      <c r="A7" s="16" t="s">
        <v>64</v>
      </c>
      <c r="B7" s="17">
        <v>1.0</v>
      </c>
      <c r="C7" s="17">
        <v>1.0</v>
      </c>
      <c r="D7" s="17">
        <v>1.0</v>
      </c>
      <c r="E7" s="17">
        <v>1.0</v>
      </c>
      <c r="F7" s="18">
        <v>2.0</v>
      </c>
      <c r="G7" s="17">
        <v>1.0</v>
      </c>
      <c r="H7" s="18">
        <v>2.0</v>
      </c>
      <c r="I7" s="17">
        <v>3.0</v>
      </c>
      <c r="J7" s="20">
        <v>1.0</v>
      </c>
    </row>
    <row r="8">
      <c r="A8" s="7" t="s">
        <v>62</v>
      </c>
      <c r="B8" s="8">
        <v>3.0</v>
      </c>
      <c r="C8" s="8">
        <v>3.0</v>
      </c>
      <c r="D8" s="8">
        <v>3.0</v>
      </c>
      <c r="E8" s="8">
        <v>3.0</v>
      </c>
      <c r="F8" s="8">
        <v>1.0</v>
      </c>
      <c r="G8" s="8">
        <v>3.0</v>
      </c>
      <c r="H8" s="9">
        <v>3.0</v>
      </c>
      <c r="I8" s="8">
        <v>1.0</v>
      </c>
      <c r="J8" s="21">
        <v>3.0</v>
      </c>
    </row>
    <row r="9">
      <c r="A9" s="12" t="s">
        <v>63</v>
      </c>
      <c r="B9" s="1">
        <v>2.0</v>
      </c>
      <c r="C9" s="1">
        <v>2.0</v>
      </c>
      <c r="D9" s="1">
        <v>2.0</v>
      </c>
      <c r="E9" s="1">
        <v>2.0</v>
      </c>
      <c r="F9" s="1">
        <v>3.0</v>
      </c>
      <c r="G9" s="1">
        <v>2.0</v>
      </c>
      <c r="H9" s="13">
        <v>1.0</v>
      </c>
      <c r="I9" s="1">
        <v>2.0</v>
      </c>
      <c r="J9" s="22">
        <v>2.0</v>
      </c>
    </row>
    <row r="10">
      <c r="A10" s="16" t="s">
        <v>64</v>
      </c>
      <c r="B10" s="17">
        <v>1.0</v>
      </c>
      <c r="C10" s="17">
        <v>1.0</v>
      </c>
      <c r="D10" s="17">
        <v>1.0</v>
      </c>
      <c r="E10" s="17">
        <v>1.0</v>
      </c>
      <c r="F10" s="17">
        <v>2.0</v>
      </c>
      <c r="G10" s="17">
        <v>1.0</v>
      </c>
      <c r="H10" s="18">
        <v>2.0</v>
      </c>
      <c r="I10" s="17">
        <v>3.0</v>
      </c>
      <c r="J10" s="23">
        <v>1.0</v>
      </c>
    </row>
    <row r="11">
      <c r="A11" s="7" t="s">
        <v>62</v>
      </c>
      <c r="B11" s="8">
        <v>3.0</v>
      </c>
      <c r="C11" s="8">
        <v>3.0</v>
      </c>
      <c r="D11" s="8">
        <v>3.0</v>
      </c>
      <c r="E11" s="8">
        <v>3.0</v>
      </c>
      <c r="F11" s="9">
        <v>3.0</v>
      </c>
      <c r="G11" s="8">
        <v>3.0</v>
      </c>
      <c r="H11" s="8">
        <v>1.0</v>
      </c>
      <c r="I11" s="8">
        <v>1.0</v>
      </c>
      <c r="J11" s="21">
        <v>3.0</v>
      </c>
    </row>
    <row r="12">
      <c r="A12" s="12" t="s">
        <v>63</v>
      </c>
      <c r="B12" s="1">
        <v>2.0</v>
      </c>
      <c r="C12" s="1">
        <v>2.0</v>
      </c>
      <c r="D12" s="1">
        <v>2.0</v>
      </c>
      <c r="E12" s="1">
        <v>2.0</v>
      </c>
      <c r="F12" s="13">
        <v>1.0</v>
      </c>
      <c r="G12" s="1">
        <v>2.0</v>
      </c>
      <c r="H12" s="1">
        <v>3.0</v>
      </c>
      <c r="I12" s="1">
        <v>2.0</v>
      </c>
      <c r="J12" s="22">
        <v>2.0</v>
      </c>
    </row>
    <row r="13">
      <c r="A13" s="16" t="s">
        <v>64</v>
      </c>
      <c r="B13" s="17">
        <v>1.0</v>
      </c>
      <c r="C13" s="17">
        <v>1.0</v>
      </c>
      <c r="D13" s="17">
        <v>1.0</v>
      </c>
      <c r="E13" s="17">
        <v>1.0</v>
      </c>
      <c r="F13" s="18">
        <v>2.0</v>
      </c>
      <c r="G13" s="17">
        <v>1.0</v>
      </c>
      <c r="H13" s="17">
        <v>2.0</v>
      </c>
      <c r="I13" s="17">
        <v>3.0</v>
      </c>
      <c r="J13" s="23">
        <v>1.0</v>
      </c>
    </row>
    <row r="15">
      <c r="A15" s="1" t="s">
        <v>65</v>
      </c>
      <c r="B15" s="1">
        <v>3.0</v>
      </c>
      <c r="C15" s="1">
        <v>3.0</v>
      </c>
      <c r="D15" s="1">
        <v>3.0</v>
      </c>
      <c r="E15" s="1">
        <v>3.0</v>
      </c>
      <c r="F15" s="24">
        <v>2.0</v>
      </c>
      <c r="G15" s="1">
        <v>3.0</v>
      </c>
      <c r="H15" s="1">
        <v>3.0</v>
      </c>
      <c r="I15" s="25">
        <v>3.0</v>
      </c>
      <c r="J15" s="25">
        <v>3.0</v>
      </c>
    </row>
    <row r="16">
      <c r="A16" s="1" t="s">
        <v>66</v>
      </c>
      <c r="B16" s="1">
        <v>2.0</v>
      </c>
      <c r="C16" s="1">
        <v>2.0</v>
      </c>
      <c r="D16" s="1">
        <v>2.0</v>
      </c>
      <c r="E16" s="1">
        <v>2.0</v>
      </c>
      <c r="F16" s="24">
        <v>3.0</v>
      </c>
      <c r="G16" s="1">
        <v>2.0</v>
      </c>
      <c r="H16" s="1">
        <v>2.0</v>
      </c>
      <c r="I16" s="25">
        <v>1.0</v>
      </c>
      <c r="J16" s="25">
        <v>1.0</v>
      </c>
    </row>
    <row r="17">
      <c r="A17" s="1" t="s">
        <v>67</v>
      </c>
      <c r="B17" s="1">
        <v>1.0</v>
      </c>
      <c r="C17" s="1">
        <v>1.0</v>
      </c>
      <c r="D17" s="1">
        <v>1.0</v>
      </c>
      <c r="E17" s="1">
        <v>1.0</v>
      </c>
      <c r="F17" s="24">
        <v>1.0</v>
      </c>
      <c r="G17" s="1">
        <v>1.0</v>
      </c>
      <c r="H17" s="1">
        <v>1.0</v>
      </c>
      <c r="I17" s="25">
        <v>2.0</v>
      </c>
      <c r="J17" s="25">
        <v>2.0</v>
      </c>
    </row>
    <row r="18">
      <c r="A18" s="1" t="s">
        <v>65</v>
      </c>
      <c r="B18" s="1">
        <v>3.0</v>
      </c>
      <c r="C18" s="1">
        <v>3.0</v>
      </c>
      <c r="D18" s="1">
        <v>3.0</v>
      </c>
      <c r="E18" s="1">
        <v>3.0</v>
      </c>
      <c r="F18" s="24">
        <v>2.0</v>
      </c>
      <c r="G18" s="1">
        <v>3.0</v>
      </c>
      <c r="H18" s="24">
        <v>2.0</v>
      </c>
      <c r="I18" s="1">
        <v>1.0</v>
      </c>
      <c r="J18" s="26">
        <v>3.0</v>
      </c>
    </row>
    <row r="19">
      <c r="A19" s="1" t="s">
        <v>66</v>
      </c>
      <c r="B19" s="1">
        <v>2.0</v>
      </c>
      <c r="C19" s="1">
        <v>2.0</v>
      </c>
      <c r="D19" s="1">
        <v>2.0</v>
      </c>
      <c r="E19" s="1">
        <v>2.0</v>
      </c>
      <c r="F19" s="24">
        <v>3.0</v>
      </c>
      <c r="G19" s="1">
        <v>2.0</v>
      </c>
      <c r="H19" s="24">
        <v>3.0</v>
      </c>
      <c r="I19" s="1">
        <v>2.0</v>
      </c>
      <c r="J19" s="26">
        <v>1.0</v>
      </c>
    </row>
    <row r="20">
      <c r="A20" s="1" t="s">
        <v>67</v>
      </c>
      <c r="B20" s="1">
        <v>1.0</v>
      </c>
      <c r="C20" s="1">
        <v>1.0</v>
      </c>
      <c r="D20" s="1">
        <v>1.0</v>
      </c>
      <c r="E20" s="1">
        <v>1.0</v>
      </c>
      <c r="F20" s="24">
        <v>1.0</v>
      </c>
      <c r="G20" s="1">
        <v>1.0</v>
      </c>
      <c r="H20" s="24">
        <v>1.0</v>
      </c>
      <c r="I20" s="1">
        <v>3.0</v>
      </c>
      <c r="J20" s="26">
        <v>2.0</v>
      </c>
    </row>
    <row r="21">
      <c r="A21" s="1" t="s">
        <v>65</v>
      </c>
      <c r="B21" s="1">
        <v>3.0</v>
      </c>
      <c r="C21" s="1">
        <v>3.0</v>
      </c>
      <c r="D21" s="1">
        <v>3.0</v>
      </c>
      <c r="E21" s="1">
        <v>3.0</v>
      </c>
      <c r="F21" s="1">
        <v>1.0</v>
      </c>
      <c r="G21" s="1">
        <v>3.0</v>
      </c>
      <c r="H21" s="24">
        <v>2.0</v>
      </c>
      <c r="I21" s="1">
        <v>1.0</v>
      </c>
      <c r="J21" s="1">
        <v>3.0</v>
      </c>
    </row>
    <row r="22">
      <c r="A22" s="1" t="s">
        <v>66</v>
      </c>
      <c r="B22" s="1">
        <v>2.0</v>
      </c>
      <c r="C22" s="1">
        <v>2.0</v>
      </c>
      <c r="D22" s="1">
        <v>2.0</v>
      </c>
      <c r="E22" s="1">
        <v>2.0</v>
      </c>
      <c r="F22" s="1">
        <v>3.0</v>
      </c>
      <c r="G22" s="1">
        <v>2.0</v>
      </c>
      <c r="H22" s="24">
        <v>3.0</v>
      </c>
      <c r="I22" s="1">
        <v>2.0</v>
      </c>
      <c r="J22" s="1">
        <v>2.0</v>
      </c>
    </row>
    <row r="23">
      <c r="A23" s="1" t="s">
        <v>67</v>
      </c>
      <c r="B23" s="1">
        <v>1.0</v>
      </c>
      <c r="C23" s="1">
        <v>1.0</v>
      </c>
      <c r="D23" s="1">
        <v>1.0</v>
      </c>
      <c r="E23" s="1">
        <v>1.0</v>
      </c>
      <c r="F23" s="1">
        <v>2.0</v>
      </c>
      <c r="G23" s="1">
        <v>1.0</v>
      </c>
      <c r="H23" s="24">
        <v>1.0</v>
      </c>
      <c r="I23" s="1">
        <v>3.0</v>
      </c>
      <c r="J23" s="1">
        <v>1.0</v>
      </c>
    </row>
    <row r="24">
      <c r="A24" s="1" t="s">
        <v>65</v>
      </c>
      <c r="B24" s="1">
        <v>3.0</v>
      </c>
      <c r="C24" s="1">
        <v>3.0</v>
      </c>
      <c r="D24" s="1">
        <v>3.0</v>
      </c>
      <c r="E24" s="1">
        <v>3.0</v>
      </c>
      <c r="F24" s="24">
        <v>2.0</v>
      </c>
      <c r="G24" s="1">
        <v>3.0</v>
      </c>
      <c r="H24" s="1">
        <v>1.0</v>
      </c>
      <c r="I24" s="1">
        <v>1.0</v>
      </c>
      <c r="J24" s="1">
        <v>3.0</v>
      </c>
    </row>
    <row r="25">
      <c r="A25" s="1" t="s">
        <v>66</v>
      </c>
      <c r="B25" s="1">
        <v>2.0</v>
      </c>
      <c r="C25" s="1">
        <v>2.0</v>
      </c>
      <c r="D25" s="1">
        <v>2.0</v>
      </c>
      <c r="E25" s="1">
        <v>2.0</v>
      </c>
      <c r="F25" s="24">
        <v>3.0</v>
      </c>
      <c r="G25" s="1">
        <v>2.0</v>
      </c>
      <c r="H25" s="1">
        <v>3.0</v>
      </c>
      <c r="I25" s="1">
        <v>2.0</v>
      </c>
      <c r="J25" s="1">
        <v>2.0</v>
      </c>
    </row>
    <row r="26">
      <c r="A26" s="1" t="s">
        <v>67</v>
      </c>
      <c r="B26" s="1">
        <v>1.0</v>
      </c>
      <c r="C26" s="1">
        <v>1.0</v>
      </c>
      <c r="D26" s="1">
        <v>1.0</v>
      </c>
      <c r="E26" s="1">
        <v>1.0</v>
      </c>
      <c r="F26" s="24">
        <v>1.0</v>
      </c>
      <c r="G26" s="1">
        <v>1.0</v>
      </c>
      <c r="H26" s="1">
        <v>2.0</v>
      </c>
      <c r="I26" s="1">
        <v>3.0</v>
      </c>
      <c r="J26" s="1">
        <v>1.0</v>
      </c>
    </row>
  </sheetData>
  <conditionalFormatting sqref="A1:I13 J2:J1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7.63"/>
  </cols>
  <sheetData>
    <row r="1">
      <c r="B1" s="1" t="s">
        <v>5</v>
      </c>
      <c r="C1" s="1" t="s">
        <v>5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</row>
    <row r="2"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>
      <c r="B3" s="1" t="s">
        <v>29</v>
      </c>
      <c r="C3" s="1" t="s">
        <v>29</v>
      </c>
      <c r="D3" s="1" t="s">
        <v>30</v>
      </c>
      <c r="E3" s="1" t="s">
        <v>30</v>
      </c>
      <c r="F3" s="1" t="s">
        <v>31</v>
      </c>
      <c r="G3" s="1" t="s">
        <v>30</v>
      </c>
      <c r="H3" s="1" t="s">
        <v>31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31</v>
      </c>
    </row>
    <row r="4">
      <c r="B4" s="1" t="s">
        <v>32</v>
      </c>
      <c r="C4" s="1" t="s">
        <v>32</v>
      </c>
      <c r="D4" s="1" t="s">
        <v>33</v>
      </c>
      <c r="E4" s="1">
        <v>17.0</v>
      </c>
      <c r="F4" s="1">
        <v>2.0</v>
      </c>
      <c r="G4" s="1">
        <v>15.0</v>
      </c>
      <c r="H4" s="1">
        <v>3.0</v>
      </c>
      <c r="I4" s="1">
        <v>15.0</v>
      </c>
      <c r="J4" s="1">
        <v>3.0</v>
      </c>
      <c r="K4" s="1">
        <v>20.0</v>
      </c>
      <c r="L4" s="1">
        <v>15.0</v>
      </c>
      <c r="M4" s="1">
        <v>11.0</v>
      </c>
      <c r="N4" s="1">
        <v>7.0</v>
      </c>
      <c r="O4" s="1">
        <v>15.0</v>
      </c>
      <c r="Q4" s="1" t="s">
        <v>68</v>
      </c>
    </row>
    <row r="5">
      <c r="A5" s="27" t="s">
        <v>34</v>
      </c>
      <c r="B5" s="27" t="s">
        <v>35</v>
      </c>
      <c r="C5" s="28" t="str">
        <f t="shared" ref="C5:C16" si="1">left(A5,3)&amp;"_"&amp;B5</f>
        <v>事例①_条件1</v>
      </c>
      <c r="D5" s="27">
        <v>3.0</v>
      </c>
      <c r="E5" s="27">
        <v>3.0</v>
      </c>
      <c r="F5" s="27">
        <v>3.0</v>
      </c>
      <c r="G5" s="27">
        <v>3.0</v>
      </c>
      <c r="H5" s="27">
        <v>3.0</v>
      </c>
      <c r="I5" s="27">
        <v>3.0</v>
      </c>
      <c r="J5" s="27">
        <v>3.0</v>
      </c>
      <c r="K5" s="27">
        <v>3.0</v>
      </c>
      <c r="L5" s="27">
        <v>3.0</v>
      </c>
      <c r="M5" s="27">
        <v>1.0</v>
      </c>
      <c r="N5" s="27">
        <v>3.0</v>
      </c>
      <c r="O5" s="27">
        <v>3.0</v>
      </c>
      <c r="Q5" s="1" t="s">
        <v>69</v>
      </c>
    </row>
    <row r="6">
      <c r="A6" s="27" t="s">
        <v>34</v>
      </c>
      <c r="B6" s="27" t="s">
        <v>38</v>
      </c>
      <c r="C6" s="28" t="str">
        <f t="shared" si="1"/>
        <v>事例①_条件2</v>
      </c>
      <c r="D6" s="27">
        <v>1.0</v>
      </c>
      <c r="E6" s="27">
        <v>3.0</v>
      </c>
      <c r="F6" s="27">
        <v>1.0</v>
      </c>
      <c r="G6" s="27">
        <v>1.0</v>
      </c>
      <c r="H6" s="27">
        <v>2.0</v>
      </c>
      <c r="I6" s="27">
        <v>2.0</v>
      </c>
      <c r="J6" s="27">
        <v>2.0</v>
      </c>
      <c r="K6" s="27">
        <v>1.0</v>
      </c>
      <c r="L6" s="27">
        <v>2.0</v>
      </c>
      <c r="M6" s="27">
        <v>1.0</v>
      </c>
      <c r="N6" s="27">
        <v>1.0</v>
      </c>
      <c r="O6" s="27">
        <v>2.0</v>
      </c>
    </row>
    <row r="7">
      <c r="A7" s="27" t="s">
        <v>34</v>
      </c>
      <c r="B7" s="27" t="s">
        <v>39</v>
      </c>
      <c r="C7" s="28" t="str">
        <f t="shared" si="1"/>
        <v>事例①_条件3</v>
      </c>
      <c r="D7" s="27">
        <v>2.0</v>
      </c>
      <c r="E7" s="27">
        <v>1.0</v>
      </c>
      <c r="F7" s="27">
        <v>2.0</v>
      </c>
      <c r="G7" s="27">
        <v>2.0</v>
      </c>
      <c r="H7" s="27">
        <v>1.0</v>
      </c>
      <c r="I7" s="27">
        <v>1.0</v>
      </c>
      <c r="J7" s="27">
        <v>1.0</v>
      </c>
      <c r="K7" s="27">
        <v>1.0</v>
      </c>
      <c r="L7" s="27">
        <v>1.0</v>
      </c>
      <c r="M7" s="27">
        <v>1.0</v>
      </c>
      <c r="N7" s="27">
        <v>1.0</v>
      </c>
      <c r="O7" s="27">
        <v>1.0</v>
      </c>
    </row>
    <row r="8">
      <c r="A8" s="29" t="s">
        <v>40</v>
      </c>
      <c r="B8" s="29" t="s">
        <v>35</v>
      </c>
      <c r="C8" s="30" t="str">
        <f t="shared" si="1"/>
        <v>事例②_条件1</v>
      </c>
      <c r="D8" s="29">
        <v>2.0</v>
      </c>
      <c r="E8" s="29">
        <v>3.0</v>
      </c>
      <c r="F8" s="29">
        <v>1.0</v>
      </c>
      <c r="G8" s="29">
        <v>3.0</v>
      </c>
      <c r="H8" s="29">
        <v>3.0</v>
      </c>
      <c r="I8" s="29">
        <v>1.0</v>
      </c>
      <c r="J8" s="29">
        <v>3.0</v>
      </c>
      <c r="K8" s="29">
        <v>3.0</v>
      </c>
      <c r="L8" s="29">
        <v>3.0</v>
      </c>
      <c r="M8" s="29">
        <v>1.0</v>
      </c>
      <c r="N8" s="29">
        <v>1.0</v>
      </c>
      <c r="O8" s="29">
        <v>3.0</v>
      </c>
    </row>
    <row r="9">
      <c r="A9" s="29" t="s">
        <v>40</v>
      </c>
      <c r="B9" s="29" t="s">
        <v>38</v>
      </c>
      <c r="C9" s="30" t="str">
        <f t="shared" si="1"/>
        <v>事例②_条件2</v>
      </c>
      <c r="D9" s="29">
        <v>1.0</v>
      </c>
      <c r="E9" s="29">
        <v>3.0</v>
      </c>
      <c r="F9" s="29">
        <v>1.0</v>
      </c>
      <c r="G9" s="29">
        <v>1.0</v>
      </c>
      <c r="H9" s="29">
        <v>1.0</v>
      </c>
      <c r="I9" s="29">
        <v>1.0</v>
      </c>
      <c r="J9" s="29">
        <v>2.0</v>
      </c>
      <c r="K9" s="29">
        <v>1.0</v>
      </c>
      <c r="L9" s="29">
        <v>2.0</v>
      </c>
      <c r="M9" s="29">
        <v>1.0</v>
      </c>
      <c r="N9" s="29">
        <v>1.0</v>
      </c>
      <c r="O9" s="29">
        <v>1.0</v>
      </c>
    </row>
    <row r="10">
      <c r="A10" s="29" t="s">
        <v>40</v>
      </c>
      <c r="B10" s="29" t="s">
        <v>39</v>
      </c>
      <c r="C10" s="30" t="str">
        <f t="shared" si="1"/>
        <v>事例②_条件3</v>
      </c>
      <c r="D10" s="29">
        <v>2.0</v>
      </c>
      <c r="E10" s="29">
        <v>1.0</v>
      </c>
      <c r="F10" s="29">
        <v>3.0</v>
      </c>
      <c r="G10" s="29">
        <v>1.0</v>
      </c>
      <c r="H10" s="29">
        <v>1.0</v>
      </c>
      <c r="I10" s="29">
        <v>3.0</v>
      </c>
      <c r="J10" s="29">
        <v>1.0</v>
      </c>
      <c r="K10" s="29">
        <v>1.0</v>
      </c>
      <c r="L10" s="29">
        <v>1.0</v>
      </c>
      <c r="M10" s="29">
        <v>1.0</v>
      </c>
      <c r="N10" s="29">
        <v>1.0</v>
      </c>
      <c r="O10" s="29">
        <v>1.0</v>
      </c>
    </row>
    <row r="11">
      <c r="A11" s="27" t="s">
        <v>41</v>
      </c>
      <c r="B11" s="27" t="s">
        <v>35</v>
      </c>
      <c r="C11" s="28" t="str">
        <f t="shared" si="1"/>
        <v>事例③_条件1</v>
      </c>
      <c r="D11" s="27">
        <v>2.0</v>
      </c>
      <c r="E11" s="27">
        <v>3.0</v>
      </c>
      <c r="F11" s="27">
        <v>1.0</v>
      </c>
      <c r="G11" s="27">
        <v>3.0</v>
      </c>
      <c r="H11" s="27">
        <v>3.0</v>
      </c>
      <c r="I11" s="27">
        <v>3.0</v>
      </c>
      <c r="J11" s="27">
        <v>3.0</v>
      </c>
      <c r="K11" s="27">
        <v>1.0</v>
      </c>
      <c r="L11" s="27">
        <v>3.0</v>
      </c>
      <c r="M11" s="27">
        <v>1.0</v>
      </c>
      <c r="N11" s="27">
        <v>1.0</v>
      </c>
      <c r="O11" s="27">
        <v>3.0</v>
      </c>
    </row>
    <row r="12">
      <c r="A12" s="27" t="s">
        <v>41</v>
      </c>
      <c r="B12" s="27" t="s">
        <v>38</v>
      </c>
      <c r="C12" s="28" t="str">
        <f t="shared" si="1"/>
        <v>事例③_条件2</v>
      </c>
      <c r="D12" s="27">
        <v>1.0</v>
      </c>
      <c r="E12" s="27">
        <v>3.0</v>
      </c>
      <c r="F12" s="27">
        <v>1.0</v>
      </c>
      <c r="G12" s="27">
        <v>1.0</v>
      </c>
      <c r="H12" s="27">
        <v>1.0</v>
      </c>
      <c r="I12" s="27">
        <v>1.0</v>
      </c>
      <c r="J12" s="27">
        <v>2.0</v>
      </c>
      <c r="K12" s="27">
        <v>1.0</v>
      </c>
      <c r="L12" s="27">
        <v>2.0</v>
      </c>
      <c r="M12" s="27">
        <v>1.0</v>
      </c>
      <c r="N12" s="27">
        <v>1.0</v>
      </c>
      <c r="O12" s="27">
        <v>1.0</v>
      </c>
    </row>
    <row r="13">
      <c r="A13" s="27" t="s">
        <v>41</v>
      </c>
      <c r="B13" s="27" t="s">
        <v>39</v>
      </c>
      <c r="C13" s="28" t="str">
        <f t="shared" si="1"/>
        <v>事例③_条件3</v>
      </c>
      <c r="D13" s="27">
        <v>3.0</v>
      </c>
      <c r="E13" s="27">
        <v>1.0</v>
      </c>
      <c r="F13" s="27">
        <v>1.0</v>
      </c>
      <c r="G13" s="27">
        <v>1.0</v>
      </c>
      <c r="H13" s="27">
        <v>1.0</v>
      </c>
      <c r="I13" s="27">
        <v>1.0</v>
      </c>
      <c r="J13" s="27">
        <v>1.0</v>
      </c>
      <c r="K13" s="27">
        <v>1.0</v>
      </c>
      <c r="L13" s="27">
        <v>1.0</v>
      </c>
      <c r="M13" s="27">
        <v>1.0</v>
      </c>
      <c r="N13" s="27">
        <v>1.0</v>
      </c>
      <c r="O13" s="27">
        <v>3.0</v>
      </c>
    </row>
    <row r="14">
      <c r="A14" s="29" t="s">
        <v>43</v>
      </c>
      <c r="B14" s="29" t="s">
        <v>35</v>
      </c>
      <c r="C14" s="30" t="str">
        <f t="shared" si="1"/>
        <v>事例④_条件1</v>
      </c>
      <c r="D14" s="29">
        <v>3.0</v>
      </c>
      <c r="E14" s="29">
        <v>3.0</v>
      </c>
      <c r="F14" s="29">
        <v>1.0</v>
      </c>
      <c r="G14" s="29">
        <v>3.0</v>
      </c>
      <c r="H14" s="29">
        <v>3.0</v>
      </c>
      <c r="I14" s="29">
        <v>3.0</v>
      </c>
      <c r="J14" s="29">
        <v>1.0</v>
      </c>
      <c r="K14" s="29">
        <v>1.0</v>
      </c>
      <c r="L14" s="29">
        <v>3.0</v>
      </c>
      <c r="M14" s="29">
        <v>1.0</v>
      </c>
      <c r="N14" s="29">
        <v>3.0</v>
      </c>
      <c r="O14" s="29">
        <v>1.0</v>
      </c>
    </row>
    <row r="15">
      <c r="A15" s="29" t="s">
        <v>43</v>
      </c>
      <c r="B15" s="29" t="s">
        <v>38</v>
      </c>
      <c r="C15" s="30" t="str">
        <f t="shared" si="1"/>
        <v>事例④_条件2</v>
      </c>
      <c r="D15" s="29">
        <v>1.0</v>
      </c>
      <c r="E15" s="29">
        <v>3.0</v>
      </c>
      <c r="F15" s="29">
        <v>1.0</v>
      </c>
      <c r="G15" s="29">
        <v>2.0</v>
      </c>
      <c r="H15" s="29">
        <v>1.0</v>
      </c>
      <c r="I15" s="29">
        <v>1.0</v>
      </c>
      <c r="J15" s="29">
        <v>1.0</v>
      </c>
      <c r="K15" s="29">
        <v>1.0</v>
      </c>
      <c r="L15" s="29">
        <v>1.0</v>
      </c>
      <c r="M15" s="29">
        <v>1.0</v>
      </c>
      <c r="N15" s="29">
        <v>1.0</v>
      </c>
      <c r="O15" s="29">
        <v>1.0</v>
      </c>
    </row>
    <row r="16">
      <c r="A16" s="29" t="s">
        <v>43</v>
      </c>
      <c r="B16" s="29" t="s">
        <v>39</v>
      </c>
      <c r="C16" s="30" t="str">
        <f t="shared" si="1"/>
        <v>事例④_条件3</v>
      </c>
      <c r="D16" s="29">
        <v>1.0</v>
      </c>
      <c r="E16" s="29">
        <v>1.0</v>
      </c>
      <c r="F16" s="29">
        <v>1.0</v>
      </c>
      <c r="G16" s="29">
        <v>1.0</v>
      </c>
      <c r="H16" s="29">
        <v>1.0</v>
      </c>
      <c r="I16" s="29">
        <v>1.0</v>
      </c>
      <c r="J16" s="29">
        <v>1.0</v>
      </c>
      <c r="K16" s="29">
        <v>1.0</v>
      </c>
      <c r="L16" s="29">
        <v>1.0</v>
      </c>
      <c r="M16" s="29">
        <v>1.0</v>
      </c>
      <c r="N16" s="29">
        <v>1.0</v>
      </c>
      <c r="O16" s="29">
        <v>1.0</v>
      </c>
    </row>
    <row r="18">
      <c r="A18" s="1" t="s">
        <v>70</v>
      </c>
    </row>
    <row r="19">
      <c r="B19" s="1" t="s">
        <v>5</v>
      </c>
      <c r="C19" s="1" t="s">
        <v>5</v>
      </c>
      <c r="D19" s="1">
        <v>1.0</v>
      </c>
      <c r="E19" s="1">
        <v>2.0</v>
      </c>
      <c r="F19" s="1">
        <v>3.0</v>
      </c>
      <c r="G19" s="1">
        <v>4.0</v>
      </c>
      <c r="H19" s="1">
        <v>5.0</v>
      </c>
      <c r="I19" s="1">
        <v>6.0</v>
      </c>
      <c r="J19" s="1">
        <v>7.0</v>
      </c>
      <c r="K19" s="1">
        <v>8.0</v>
      </c>
      <c r="L19" s="1">
        <v>9.0</v>
      </c>
      <c r="M19" s="1">
        <v>10.0</v>
      </c>
      <c r="N19" s="1">
        <v>11.0</v>
      </c>
      <c r="O19" s="1">
        <v>12.0</v>
      </c>
    </row>
    <row r="20">
      <c r="B20" s="1" t="s">
        <v>16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26</v>
      </c>
      <c r="N20" s="1" t="s">
        <v>27</v>
      </c>
      <c r="O20" s="1" t="s">
        <v>28</v>
      </c>
    </row>
    <row r="21">
      <c r="B21" s="1" t="s">
        <v>29</v>
      </c>
      <c r="C21" s="1" t="s">
        <v>29</v>
      </c>
      <c r="D21" s="1" t="s">
        <v>30</v>
      </c>
      <c r="E21" s="1" t="s">
        <v>30</v>
      </c>
      <c r="F21" s="1" t="s">
        <v>31</v>
      </c>
      <c r="G21" s="1" t="s">
        <v>30</v>
      </c>
      <c r="H21" s="1" t="s">
        <v>31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31</v>
      </c>
    </row>
    <row r="22">
      <c r="B22" s="1" t="s">
        <v>32</v>
      </c>
      <c r="C22" s="1" t="s">
        <v>32</v>
      </c>
      <c r="D22" s="1" t="s">
        <v>33</v>
      </c>
      <c r="E22" s="1">
        <v>17.0</v>
      </c>
      <c r="F22" s="1">
        <v>2.0</v>
      </c>
      <c r="G22" s="1">
        <v>15.0</v>
      </c>
      <c r="H22" s="1">
        <v>3.0</v>
      </c>
      <c r="I22" s="1">
        <v>15.0</v>
      </c>
      <c r="J22" s="1">
        <v>3.0</v>
      </c>
      <c r="K22" s="1">
        <v>20.0</v>
      </c>
      <c r="L22" s="1">
        <v>15.0</v>
      </c>
      <c r="M22" s="1">
        <v>11.0</v>
      </c>
      <c r="N22" s="1">
        <v>7.0</v>
      </c>
      <c r="O22" s="1">
        <v>15.0</v>
      </c>
    </row>
    <row r="23">
      <c r="A23" s="27" t="s">
        <v>34</v>
      </c>
      <c r="B23" s="27" t="s">
        <v>35</v>
      </c>
      <c r="C23" s="28" t="str">
        <f t="shared" ref="C23:C34" si="2">left(A23,3)&amp;"_"&amp;B23</f>
        <v>事例①_条件1</v>
      </c>
      <c r="D23" s="27">
        <v>3.0</v>
      </c>
      <c r="E23" s="27">
        <v>2.5</v>
      </c>
      <c r="F23" s="27">
        <v>3.0</v>
      </c>
      <c r="G23" s="27">
        <v>3.0</v>
      </c>
      <c r="H23" s="27">
        <v>3.0</v>
      </c>
      <c r="I23" s="27">
        <v>3.0</v>
      </c>
      <c r="J23" s="27">
        <v>3.0</v>
      </c>
      <c r="K23" s="27">
        <v>3.0</v>
      </c>
      <c r="L23" s="27">
        <v>3.0</v>
      </c>
      <c r="M23" s="27">
        <v>2.0</v>
      </c>
      <c r="N23" s="27">
        <v>3.0</v>
      </c>
      <c r="O23" s="27">
        <v>3.0</v>
      </c>
    </row>
    <row r="24">
      <c r="A24" s="27" t="s">
        <v>34</v>
      </c>
      <c r="B24" s="27" t="s">
        <v>38</v>
      </c>
      <c r="C24" s="28" t="str">
        <f t="shared" si="2"/>
        <v>事例①_条件2</v>
      </c>
      <c r="D24" s="27">
        <v>1.0</v>
      </c>
      <c r="E24" s="27">
        <v>2.5</v>
      </c>
      <c r="F24" s="27">
        <v>1.0</v>
      </c>
      <c r="G24" s="27">
        <v>1.0</v>
      </c>
      <c r="H24" s="27">
        <v>2.0</v>
      </c>
      <c r="I24" s="27">
        <v>2.0</v>
      </c>
      <c r="J24" s="27">
        <v>2.0</v>
      </c>
      <c r="K24" s="27">
        <v>1.5</v>
      </c>
      <c r="L24" s="27">
        <v>2.0</v>
      </c>
      <c r="M24" s="27">
        <v>2.0</v>
      </c>
      <c r="N24" s="27">
        <v>1.5</v>
      </c>
      <c r="O24" s="27">
        <v>2.0</v>
      </c>
    </row>
    <row r="25">
      <c r="A25" s="27" t="s">
        <v>34</v>
      </c>
      <c r="B25" s="27" t="s">
        <v>39</v>
      </c>
      <c r="C25" s="28" t="str">
        <f t="shared" si="2"/>
        <v>事例①_条件3</v>
      </c>
      <c r="D25" s="27">
        <v>2.0</v>
      </c>
      <c r="E25" s="27">
        <v>1.0</v>
      </c>
      <c r="F25" s="27">
        <v>2.0</v>
      </c>
      <c r="G25" s="27">
        <v>2.0</v>
      </c>
      <c r="H25" s="27">
        <v>1.0</v>
      </c>
      <c r="I25" s="27">
        <v>1.0</v>
      </c>
      <c r="J25" s="27">
        <v>1.0</v>
      </c>
      <c r="K25" s="27">
        <v>1.5</v>
      </c>
      <c r="L25" s="27">
        <v>1.0</v>
      </c>
      <c r="M25" s="27">
        <v>2.0</v>
      </c>
      <c r="N25" s="27">
        <v>1.5</v>
      </c>
      <c r="O25" s="27">
        <v>1.0</v>
      </c>
    </row>
    <row r="26">
      <c r="A26" s="29" t="s">
        <v>40</v>
      </c>
      <c r="B26" s="29" t="s">
        <v>35</v>
      </c>
      <c r="C26" s="30" t="str">
        <f t="shared" si="2"/>
        <v>事例②_条件1</v>
      </c>
      <c r="D26" s="29">
        <v>2.5</v>
      </c>
      <c r="E26" s="29">
        <v>2.5</v>
      </c>
      <c r="F26" s="29">
        <v>1.5</v>
      </c>
      <c r="G26" s="29">
        <v>3.0</v>
      </c>
      <c r="H26" s="29">
        <v>3.0</v>
      </c>
      <c r="I26" s="29">
        <v>1.5</v>
      </c>
      <c r="J26" s="29">
        <v>3.0</v>
      </c>
      <c r="K26" s="29">
        <v>3.0</v>
      </c>
      <c r="L26" s="29">
        <v>3.0</v>
      </c>
      <c r="M26" s="29">
        <v>2.0</v>
      </c>
      <c r="N26" s="29">
        <v>2.0</v>
      </c>
      <c r="O26" s="29">
        <v>3.0</v>
      </c>
    </row>
    <row r="27">
      <c r="A27" s="29" t="s">
        <v>40</v>
      </c>
      <c r="B27" s="29" t="s">
        <v>38</v>
      </c>
      <c r="C27" s="30" t="str">
        <f t="shared" si="2"/>
        <v>事例②_条件2</v>
      </c>
      <c r="D27" s="29">
        <v>1.0</v>
      </c>
      <c r="E27" s="29">
        <v>2.5</v>
      </c>
      <c r="F27" s="29">
        <v>1.5</v>
      </c>
      <c r="G27" s="29">
        <v>1.5</v>
      </c>
      <c r="H27" s="29">
        <v>1.5</v>
      </c>
      <c r="I27" s="29">
        <v>1.5</v>
      </c>
      <c r="J27" s="29">
        <v>2.0</v>
      </c>
      <c r="K27" s="29">
        <v>1.5</v>
      </c>
      <c r="L27" s="29">
        <v>2.0</v>
      </c>
      <c r="M27" s="29">
        <v>2.0</v>
      </c>
      <c r="N27" s="29">
        <v>2.0</v>
      </c>
      <c r="O27" s="29">
        <v>1.5</v>
      </c>
    </row>
    <row r="28">
      <c r="A28" s="29" t="s">
        <v>40</v>
      </c>
      <c r="B28" s="29" t="s">
        <v>39</v>
      </c>
      <c r="C28" s="30" t="str">
        <f t="shared" si="2"/>
        <v>事例②_条件3</v>
      </c>
      <c r="D28" s="29">
        <v>2.5</v>
      </c>
      <c r="E28" s="29">
        <v>1.0</v>
      </c>
      <c r="F28" s="29">
        <v>3.0</v>
      </c>
      <c r="G28" s="29">
        <v>1.5</v>
      </c>
      <c r="H28" s="29">
        <v>1.5</v>
      </c>
      <c r="I28" s="29">
        <v>3.0</v>
      </c>
      <c r="J28" s="29">
        <v>1.0</v>
      </c>
      <c r="K28" s="29">
        <v>1.5</v>
      </c>
      <c r="L28" s="29">
        <v>1.0</v>
      </c>
      <c r="M28" s="29">
        <v>2.0</v>
      </c>
      <c r="N28" s="29">
        <v>2.0</v>
      </c>
      <c r="O28" s="29">
        <v>1.5</v>
      </c>
    </row>
    <row r="29">
      <c r="A29" s="27" t="s">
        <v>41</v>
      </c>
      <c r="B29" s="27" t="s">
        <v>35</v>
      </c>
      <c r="C29" s="28" t="str">
        <f t="shared" si="2"/>
        <v>事例③_条件1</v>
      </c>
      <c r="D29" s="27">
        <v>2.0</v>
      </c>
      <c r="E29" s="27">
        <v>2.5</v>
      </c>
      <c r="F29" s="27">
        <v>2.0</v>
      </c>
      <c r="G29" s="27">
        <v>3.0</v>
      </c>
      <c r="H29" s="27">
        <v>3.0</v>
      </c>
      <c r="I29" s="27">
        <v>3.0</v>
      </c>
      <c r="J29" s="27">
        <v>3.0</v>
      </c>
      <c r="K29" s="27">
        <v>2.0</v>
      </c>
      <c r="L29" s="27">
        <v>3.0</v>
      </c>
      <c r="M29" s="27">
        <v>2.0</v>
      </c>
      <c r="N29" s="27">
        <v>2.0</v>
      </c>
      <c r="O29" s="27">
        <v>2.5</v>
      </c>
    </row>
    <row r="30">
      <c r="A30" s="27" t="s">
        <v>41</v>
      </c>
      <c r="B30" s="27" t="s">
        <v>38</v>
      </c>
      <c r="C30" s="28" t="str">
        <f t="shared" si="2"/>
        <v>事例③_条件2</v>
      </c>
      <c r="D30" s="27">
        <v>1.0</v>
      </c>
      <c r="E30" s="27">
        <v>2.5</v>
      </c>
      <c r="F30" s="27">
        <v>2.0</v>
      </c>
      <c r="G30" s="27">
        <v>1.5</v>
      </c>
      <c r="H30" s="27">
        <v>1.5</v>
      </c>
      <c r="I30" s="27">
        <v>1.5</v>
      </c>
      <c r="J30" s="27">
        <v>2.0</v>
      </c>
      <c r="K30" s="27">
        <v>2.0</v>
      </c>
      <c r="L30" s="27">
        <v>2.0</v>
      </c>
      <c r="M30" s="27">
        <v>2.0</v>
      </c>
      <c r="N30" s="27">
        <v>2.0</v>
      </c>
      <c r="O30" s="27">
        <v>1.0</v>
      </c>
    </row>
    <row r="31">
      <c r="A31" s="27" t="s">
        <v>41</v>
      </c>
      <c r="B31" s="27" t="s">
        <v>39</v>
      </c>
      <c r="C31" s="28" t="str">
        <f t="shared" si="2"/>
        <v>事例③_条件3</v>
      </c>
      <c r="D31" s="27">
        <v>3.0</v>
      </c>
      <c r="E31" s="27">
        <v>1.0</v>
      </c>
      <c r="F31" s="27">
        <v>2.0</v>
      </c>
      <c r="G31" s="27">
        <v>1.5</v>
      </c>
      <c r="H31" s="27">
        <v>1.5</v>
      </c>
      <c r="I31" s="27">
        <v>1.5</v>
      </c>
      <c r="J31" s="27">
        <v>1.0</v>
      </c>
      <c r="K31" s="27">
        <v>2.0</v>
      </c>
      <c r="L31" s="27">
        <v>1.0</v>
      </c>
      <c r="M31" s="27">
        <v>2.0</v>
      </c>
      <c r="N31" s="27">
        <v>2.0</v>
      </c>
      <c r="O31" s="27">
        <v>2.5</v>
      </c>
    </row>
    <row r="32">
      <c r="A32" s="29" t="s">
        <v>43</v>
      </c>
      <c r="B32" s="29" t="s">
        <v>35</v>
      </c>
      <c r="C32" s="30" t="str">
        <f t="shared" si="2"/>
        <v>事例④_条件1</v>
      </c>
      <c r="D32" s="29">
        <v>3.0</v>
      </c>
      <c r="E32" s="29">
        <v>2.5</v>
      </c>
      <c r="F32" s="29">
        <v>2.0</v>
      </c>
      <c r="G32" s="29">
        <v>3.0</v>
      </c>
      <c r="H32" s="29">
        <v>3.0</v>
      </c>
      <c r="I32" s="29">
        <v>3.0</v>
      </c>
      <c r="J32" s="29">
        <v>2.0</v>
      </c>
      <c r="K32" s="29">
        <v>2.0</v>
      </c>
      <c r="L32" s="29">
        <v>3.0</v>
      </c>
      <c r="M32" s="29">
        <v>2.0</v>
      </c>
      <c r="N32" s="29">
        <v>3.0</v>
      </c>
      <c r="O32" s="29">
        <v>2.0</v>
      </c>
    </row>
    <row r="33">
      <c r="A33" s="29" t="s">
        <v>43</v>
      </c>
      <c r="B33" s="29" t="s">
        <v>38</v>
      </c>
      <c r="C33" s="30" t="str">
        <f t="shared" si="2"/>
        <v>事例④_条件2</v>
      </c>
      <c r="D33" s="29">
        <v>1.5</v>
      </c>
      <c r="E33" s="29">
        <v>2.5</v>
      </c>
      <c r="F33" s="29">
        <v>2.0</v>
      </c>
      <c r="G33" s="29">
        <v>2.0</v>
      </c>
      <c r="H33" s="29">
        <v>1.5</v>
      </c>
      <c r="I33" s="29">
        <v>1.5</v>
      </c>
      <c r="J33" s="29">
        <v>2.0</v>
      </c>
      <c r="K33" s="29">
        <v>2.0</v>
      </c>
      <c r="L33" s="29">
        <v>1.5</v>
      </c>
      <c r="M33" s="29">
        <v>2.0</v>
      </c>
      <c r="N33" s="29">
        <v>1.5</v>
      </c>
      <c r="O33" s="29">
        <v>2.0</v>
      </c>
    </row>
    <row r="34">
      <c r="A34" s="29" t="s">
        <v>43</v>
      </c>
      <c r="B34" s="29" t="s">
        <v>39</v>
      </c>
      <c r="C34" s="30" t="str">
        <f t="shared" si="2"/>
        <v>事例④_条件3</v>
      </c>
      <c r="D34" s="29">
        <v>1.5</v>
      </c>
      <c r="E34" s="29">
        <v>1.0</v>
      </c>
      <c r="F34" s="29">
        <v>2.0</v>
      </c>
      <c r="G34" s="29">
        <v>1.0</v>
      </c>
      <c r="H34" s="29">
        <v>1.5</v>
      </c>
      <c r="I34" s="29">
        <v>1.5</v>
      </c>
      <c r="J34" s="29">
        <v>2.0</v>
      </c>
      <c r="K34" s="29">
        <v>2.0</v>
      </c>
      <c r="L34" s="29">
        <v>1.5</v>
      </c>
      <c r="M34" s="29">
        <v>2.0</v>
      </c>
      <c r="N34" s="29">
        <v>1.5</v>
      </c>
      <c r="O34" s="29">
        <v>2.0</v>
      </c>
    </row>
    <row r="37">
      <c r="B37" s="1" t="s">
        <v>71</v>
      </c>
      <c r="C37" s="1" t="s">
        <v>72</v>
      </c>
    </row>
    <row r="38">
      <c r="B38" s="1" t="s">
        <v>73</v>
      </c>
      <c r="C38" s="1" t="s">
        <v>74</v>
      </c>
    </row>
    <row r="39">
      <c r="B39" s="1" t="s">
        <v>75</v>
      </c>
      <c r="C39" s="1" t="s">
        <v>76</v>
      </c>
    </row>
    <row r="40">
      <c r="B40" s="1" t="s">
        <v>77</v>
      </c>
      <c r="C40" s="1" t="s">
        <v>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>
        <v>4.0</v>
      </c>
      <c r="C1" s="1">
        <v>5.0</v>
      </c>
      <c r="D1" s="1">
        <v>6.0</v>
      </c>
      <c r="E1" s="1">
        <v>7.0</v>
      </c>
      <c r="F1" s="1">
        <v>8.0</v>
      </c>
      <c r="G1" s="1">
        <v>9.0</v>
      </c>
      <c r="H1" s="1">
        <v>10.0</v>
      </c>
      <c r="I1" s="1">
        <v>11.0</v>
      </c>
      <c r="J1" s="1">
        <v>12.0</v>
      </c>
    </row>
    <row r="2">
      <c r="A2" s="1" t="s">
        <v>16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31</v>
      </c>
    </row>
    <row r="4">
      <c r="A4" s="1" t="s">
        <v>32</v>
      </c>
      <c r="B4" s="1">
        <v>15.0</v>
      </c>
      <c r="C4" s="1">
        <v>3.0</v>
      </c>
      <c r="D4" s="1">
        <v>15.0</v>
      </c>
      <c r="E4" s="1">
        <v>3.0</v>
      </c>
      <c r="F4" s="1">
        <v>20.0</v>
      </c>
      <c r="G4" s="1">
        <v>15.0</v>
      </c>
      <c r="H4" s="1">
        <v>11.0</v>
      </c>
      <c r="I4" s="1">
        <v>7.0</v>
      </c>
      <c r="J4" s="1">
        <v>15.0</v>
      </c>
    </row>
    <row r="5">
      <c r="A5" s="1" t="s">
        <v>79</v>
      </c>
      <c r="B5" s="1">
        <v>1.0</v>
      </c>
      <c r="C5" s="1">
        <v>1.0</v>
      </c>
      <c r="D5" s="1">
        <v>0.0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</row>
    <row r="6">
      <c r="A6" s="1" t="s">
        <v>80</v>
      </c>
      <c r="B6" s="1">
        <v>1.0</v>
      </c>
      <c r="C6" s="1">
        <v>1.0</v>
      </c>
      <c r="D6" s="1">
        <v>0.0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0.0</v>
      </c>
    </row>
    <row r="7">
      <c r="A7" s="1" t="s">
        <v>81</v>
      </c>
      <c r="B7" s="1">
        <v>1.0</v>
      </c>
      <c r="C7" s="1">
        <v>1.0</v>
      </c>
      <c r="D7" s="1">
        <v>0.0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</row>
    <row r="8">
      <c r="A8" s="1" t="s">
        <v>82</v>
      </c>
      <c r="B8" s="1">
        <v>0.0</v>
      </c>
      <c r="C8" s="1">
        <v>0.0</v>
      </c>
      <c r="D8" s="1">
        <v>0.0</v>
      </c>
      <c r="E8" s="1">
        <v>0.0</v>
      </c>
      <c r="F8" s="1">
        <v>1.0</v>
      </c>
      <c r="G8" s="1">
        <v>0.0</v>
      </c>
      <c r="H8" s="1">
        <v>0.0</v>
      </c>
      <c r="I8" s="1">
        <v>0.0</v>
      </c>
      <c r="J8" s="1">
        <v>1.0</v>
      </c>
    </row>
    <row r="9">
      <c r="A9" s="1" t="s">
        <v>83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1.0</v>
      </c>
      <c r="H9" s="1">
        <v>0.0</v>
      </c>
      <c r="I9" s="1">
        <v>0.0</v>
      </c>
      <c r="J9" s="1">
        <v>1.0</v>
      </c>
    </row>
    <row r="10">
      <c r="A10" s="1" t="s">
        <v>84</v>
      </c>
      <c r="B10" s="1">
        <v>0.0</v>
      </c>
      <c r="C10" s="1">
        <v>1.0</v>
      </c>
      <c r="D10" s="1">
        <v>0.0</v>
      </c>
      <c r="E10" s="1">
        <v>0.0</v>
      </c>
      <c r="F10" s="1">
        <v>1.0</v>
      </c>
      <c r="G10" s="1">
        <v>0.0</v>
      </c>
      <c r="H10" s="1">
        <v>0.0</v>
      </c>
      <c r="I10" s="1">
        <v>1.0</v>
      </c>
      <c r="J10" s="1">
        <v>1.0</v>
      </c>
    </row>
    <row r="13">
      <c r="A13" s="1" t="s">
        <v>79</v>
      </c>
      <c r="B13" s="1" t="s">
        <v>85</v>
      </c>
    </row>
    <row r="14">
      <c r="A14" s="1" t="s">
        <v>80</v>
      </c>
      <c r="B14" s="1" t="s">
        <v>86</v>
      </c>
    </row>
    <row r="15">
      <c r="A15" s="1" t="s">
        <v>81</v>
      </c>
      <c r="B15" s="1" t="s">
        <v>85</v>
      </c>
    </row>
    <row r="16">
      <c r="A16" s="1" t="s">
        <v>82</v>
      </c>
      <c r="B16" s="1" t="s">
        <v>87</v>
      </c>
    </row>
    <row r="17">
      <c r="A17" s="1" t="s">
        <v>83</v>
      </c>
      <c r="B17" s="1" t="s">
        <v>88</v>
      </c>
    </row>
    <row r="18">
      <c r="A18" s="1" t="s">
        <v>84</v>
      </c>
      <c r="B18" s="1" t="s">
        <v>87</v>
      </c>
    </row>
  </sheetData>
  <drawing r:id="rId1"/>
</worksheet>
</file>